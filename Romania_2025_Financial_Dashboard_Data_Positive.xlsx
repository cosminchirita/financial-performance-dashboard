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49ebc59c0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63528356b5d495c"/>
    <x:sheet xmlns:r="http://schemas.openxmlformats.org/officeDocument/2006/relationships" name="Summary" sheetId="2" r:id="Rf5f420bf788e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yy"/>
    <x:numFmt numFmtId="201" formatCode="#,##0 &quot;RON&quot;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ba4e7c676422a" /><Relationship Type="http://schemas.openxmlformats.org/officeDocument/2006/relationships/theme" Target="/xl/theme/theme1.xml" Id="R71e33e67cbae4cd6" /><Relationship Type="http://schemas.openxmlformats.org/officeDocument/2006/relationships/sharedStrings" Target="/xl/sharedStrings.xml" Id="R034986729dad45c8" /><Relationship Type="http://schemas.openxmlformats.org/officeDocument/2006/relationships/worksheet" Target="/xl/worksheets/sheet1.xml" Id="Re63528356b5d495c" /><Relationship Type="http://schemas.openxmlformats.org/officeDocument/2006/relationships/worksheet" Target="/xl/worksheets/sheet2.xml" Id="Rf5f420bf788e4236" /></Relationships>
</file>

<file path=xl/tables/table1.xml><?xml version="1.0" encoding="utf-8"?>
<x:table xmlns:x="http://schemas.openxmlformats.org/spreadsheetml/2006/main" id="1" name="TransactionsTable" displayName="TransactionsTable" ref="A1:F157" headerRowCount="1">
  <x:tableColumns count="6">
    <x:tableColumn id="1" name="Date"/>
    <x:tableColumn id="2" name="Category"/>
    <x:tableColumn id="3" name="Type"/>
    <x:tableColumn id="4" name="Amount"/>
    <x:tableColumn id="5" name="Payment Method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74647d5cf842dc" /></Relationships>
</file>

<file path=xl/worksheets/sheet1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1.380000114440918" hidden="0" customWidth="1"/>
    <x:col min="3" max="3" width="6.75" hidden="0" customWidth="1"/>
    <x:col min="4" max="4" width="9.25" hidden="0" customWidth="1"/>
    <x:col min="5" max="5" width="16.25" hidden="0" customWidth="1"/>
    <x:col min="6" max="6" width="28" hidden="0" customWidth="1"/>
  </x:cols>
  <x:sheetData>
    <x:row r="1">
      <x:c r="A1" s="14" t="str">
        <x:v>Date</x:v>
      </x:c>
      <x:c r="B1" s="14" t="str">
        <x:v>Category</x:v>
      </x:c>
      <x:c r="C1" s="14" t="str">
        <x:v>Type</x:v>
      </x:c>
      <x:c r="D1" s="14" t="str">
        <x:v>Amount</x:v>
      </x:c>
      <x:c r="E1" s="14" t="str">
        <x:v>Payment Method</x:v>
      </x:c>
      <x:c r="F1" s="14" t="str">
        <x:v>Notes</x:v>
      </x:c>
    </x:row>
    <x:row r="2">
      <x:c r="A2" s="15" t="n">
        <x:v>45658</x:v>
      </x:c>
      <x:c r="B2" s="16" t="str">
        <x:v>Rent</x:v>
      </x:c>
      <x:c r="C2" s="16" t="str">
        <x:v>Expense</x:v>
      </x:c>
      <x:c r="D2" s="17" t="n">
        <x:v>1863</x:v>
      </x:c>
      <x:c r="E2" s="16" t="str">
        <x:v>Bank</x:v>
      </x:c>
      <x:c r="F2" s="16" t="str">
        <x:v>Monthly rent</x:v>
      </x:c>
    </x:row>
    <x:row r="3">
      <x:c r="A3" s="15" t="n">
        <x:v>45658</x:v>
      </x:c>
      <x:c r="B3" s="16" t="str">
        <x:v>Food</x:v>
      </x:c>
      <x:c r="C3" s="16" t="str">
        <x:v>Expense</x:v>
      </x:c>
      <x:c r="D3" s="17" t="n">
        <x:v>203</x:v>
      </x:c>
      <x:c r="E3" s="16" t="str">
        <x:v>Card</x:v>
      </x:c>
      <x:c r="F3" s="16" t="str">
        <x:v>Groceries / meals</x:v>
      </x:c>
    </x:row>
    <x:row r="4">
      <x:c r="A4" s="15" t="n">
        <x:v>45662</x:v>
      </x:c>
      <x:c r="B4" s="16" t="str">
        <x:v>Salary</x:v>
      </x:c>
      <x:c r="C4" s="16" t="str">
        <x:v>Income</x:v>
      </x:c>
      <x:c r="D4" s="17" t="n">
        <x:v>5450</x:v>
      </x:c>
      <x:c r="E4" s="16" t="str">
        <x:v>Bank</x:v>
      </x:c>
      <x:c r="F4" s="16" t="str">
        <x:v>Average net salary income</x:v>
      </x:c>
    </x:row>
    <x:row r="5">
      <x:c r="A5" s="15" t="n">
        <x:v>45665</x:v>
      </x:c>
      <x:c r="B5" s="16" t="str">
        <x:v>Transport</x:v>
      </x:c>
      <x:c r="C5" s="16" t="str">
        <x:v>Expense</x:v>
      </x:c>
      <x:c r="D5" s="17" t="n">
        <x:v>108</x:v>
      </x:c>
      <x:c r="E5" s="16" t="str">
        <x:v>Card</x:v>
      </x:c>
      <x:c r="F5" s="16" t="str">
        <x:v>Transport expense</x:v>
      </x:c>
    </x:row>
    <x:row r="6">
      <x:c r="A6" s="15" t="n">
        <x:v>45665</x:v>
      </x:c>
      <x:c r="B6" s="16" t="str">
        <x:v>Food</x:v>
      </x:c>
      <x:c r="C6" s="16" t="str">
        <x:v>Expense</x:v>
      </x:c>
      <x:c r="D6" s="17" t="n">
        <x:v>309</x:v>
      </x:c>
      <x:c r="E6" s="16" t="str">
        <x:v>Card</x:v>
      </x:c>
      <x:c r="F6" s="16" t="str">
        <x:v>Groceries / meals</x:v>
      </x:c>
    </x:row>
    <x:row r="7">
      <x:c r="A7" s="15" t="n">
        <x:v>45665</x:v>
      </x:c>
      <x:c r="B7" s="16" t="str">
        <x:v>Healthcare</x:v>
      </x:c>
      <x:c r="C7" s="16" t="str">
        <x:v>Expense</x:v>
      </x:c>
      <x:c r="D7" s="17" t="n">
        <x:v>127</x:v>
      </x:c>
      <x:c r="E7" s="16" t="str">
        <x:v>Cash</x:v>
      </x:c>
      <x:c r="F7" s="16" t="str">
        <x:v>Health expense</x:v>
      </x:c>
    </x:row>
    <x:row r="8">
      <x:c r="A8" s="15" t="n">
        <x:v>45671</x:v>
      </x:c>
      <x:c r="B8" s="16" t="str">
        <x:v>Utilities</x:v>
      </x:c>
      <x:c r="C8" s="16" t="str">
        <x:v>Expense</x:v>
      </x:c>
      <x:c r="D8" s="17" t="n">
        <x:v>256</x:v>
      </x:c>
      <x:c r="E8" s="16" t="str">
        <x:v>Bank</x:v>
      </x:c>
      <x:c r="F8" s="16" t="str">
        <x:v>Utilities bill</x:v>
      </x:c>
    </x:row>
    <x:row r="9">
      <x:c r="A9" s="15" t="n">
        <x:v>45675</x:v>
      </x:c>
      <x:c r="B9" s="16" t="str">
        <x:v>Food</x:v>
      </x:c>
      <x:c r="C9" s="16" t="str">
        <x:v>Expense</x:v>
      </x:c>
      <x:c r="D9" s="17" t="n">
        <x:v>230</x:v>
      </x:c>
      <x:c r="E9" s="16" t="str">
        <x:v>Cash</x:v>
      </x:c>
      <x:c r="F9" s="16" t="str">
        <x:v>Groceries / meals</x:v>
      </x:c>
    </x:row>
    <x:row r="10">
      <x:c r="A10" s="15" t="n">
        <x:v>45676</x:v>
      </x:c>
      <x:c r="B10" s="16" t="str">
        <x:v>Food</x:v>
      </x:c>
      <x:c r="C10" s="16" t="str">
        <x:v>Expense</x:v>
      </x:c>
      <x:c r="D10" s="17" t="n">
        <x:v>288</x:v>
      </x:c>
      <x:c r="E10" s="16" t="str">
        <x:v>Card</x:v>
      </x:c>
      <x:c r="F10" s="16" t="str">
        <x:v>Groceries / meals</x:v>
      </x:c>
    </x:row>
    <x:row r="11">
      <x:c r="A11" s="15" t="n">
        <x:v>45680</x:v>
      </x:c>
      <x:c r="B11" s="16" t="str">
        <x:v>Entertainment</x:v>
      </x:c>
      <x:c r="C11" s="16" t="str">
        <x:v>Expense</x:v>
      </x:c>
      <x:c r="D11" s="17" t="n">
        <x:v>188</x:v>
      </x:c>
      <x:c r="E11" s="16" t="str">
        <x:v>Cash</x:v>
      </x:c>
      <x:c r="F11" s="16" t="str">
        <x:v>Leisure expense</x:v>
      </x:c>
    </x:row>
    <x:row r="12">
      <x:c r="A12" s="15" t="n">
        <x:v>45681</x:v>
      </x:c>
      <x:c r="B12" s="16" t="str">
        <x:v>Transport</x:v>
      </x:c>
      <x:c r="C12" s="16" t="str">
        <x:v>Expense</x:v>
      </x:c>
      <x:c r="D12" s="17" t="n">
        <x:v>93</x:v>
      </x:c>
      <x:c r="E12" s="16" t="str">
        <x:v>Card</x:v>
      </x:c>
      <x:c r="F12" s="16" t="str">
        <x:v>Transport expense</x:v>
      </x:c>
    </x:row>
    <x:row r="13">
      <x:c r="A13" s="15" t="n">
        <x:v>45681</x:v>
      </x:c>
      <x:c r="B13" s="16" t="str">
        <x:v>Investments</x:v>
      </x:c>
      <x:c r="C13" s="16" t="str">
        <x:v>Expense</x:v>
      </x:c>
      <x:c r="D13" s="17" t="n">
        <x:v>439</x:v>
      </x:c>
      <x:c r="E13" s="16" t="str">
        <x:v>Bank</x:v>
      </x:c>
      <x:c r="F13" s="16" t="str">
        <x:v>Monthly investment / savings</x:v>
      </x:c>
    </x:row>
    <x:row r="14">
      <x:c r="A14" s="15" t="n">
        <x:v>45683</x:v>
      </x:c>
      <x:c r="B14" s="16" t="str">
        <x:v>Entertainment</x:v>
      </x:c>
      <x:c r="C14" s="16" t="str">
        <x:v>Expense</x:v>
      </x:c>
      <x:c r="D14" s="17" t="n">
        <x:v>81</x:v>
      </x:c>
      <x:c r="E14" s="16" t="str">
        <x:v>Card</x:v>
      </x:c>
      <x:c r="F14" s="16" t="str">
        <x:v>Leisure expense</x:v>
      </x:c>
    </x:row>
    <x:row r="15">
      <x:c r="A15" s="15" t="n">
        <x:v>45690</x:v>
      </x:c>
      <x:c r="B15" s="16" t="str">
        <x:v>Rent</x:v>
      </x:c>
      <x:c r="C15" s="16" t="str">
        <x:v>Expense</x:v>
      </x:c>
      <x:c r="D15" s="17" t="n">
        <x:v>1755</x:v>
      </x:c>
      <x:c r="E15" s="16" t="str">
        <x:v>Bank</x:v>
      </x:c>
      <x:c r="F15" s="16" t="str">
        <x:v>Monthly rent</x:v>
      </x:c>
    </x:row>
    <x:row r="16">
      <x:c r="A16" s="15" t="n">
        <x:v>45690</x:v>
      </x:c>
      <x:c r="B16" s="16" t="str">
        <x:v>Healthcare</x:v>
      </x:c>
      <x:c r="C16" s="16" t="str">
        <x:v>Expense</x:v>
      </x:c>
      <x:c r="D16" s="17" t="n">
        <x:v>154</x:v>
      </x:c>
      <x:c r="E16" s="16" t="str">
        <x:v>Card</x:v>
      </x:c>
      <x:c r="F16" s="16" t="str">
        <x:v>Health expense</x:v>
      </x:c>
    </x:row>
    <x:row r="17">
      <x:c r="A17" s="15" t="n">
        <x:v>45691</x:v>
      </x:c>
      <x:c r="B17" s="16" t="str">
        <x:v>Food</x:v>
      </x:c>
      <x:c r="C17" s="16" t="str">
        <x:v>Expense</x:v>
      </x:c>
      <x:c r="D17" s="17" t="n">
        <x:v>255</x:v>
      </x:c>
      <x:c r="E17" s="16" t="str">
        <x:v>Cash</x:v>
      </x:c>
      <x:c r="F17" s="16" t="str">
        <x:v>Groceries / meals</x:v>
      </x:c>
    </x:row>
    <x:row r="18">
      <x:c r="A18" s="15" t="n">
        <x:v>45693</x:v>
      </x:c>
      <x:c r="B18" s="16" t="str">
        <x:v>Salary</x:v>
      </x:c>
      <x:c r="C18" s="16" t="str">
        <x:v>Income</x:v>
      </x:c>
      <x:c r="D18" s="17" t="n">
        <x:v>5480</x:v>
      </x:c>
      <x:c r="E18" s="16" t="str">
        <x:v>Bank</x:v>
      </x:c>
      <x:c r="F18" s="16" t="str">
        <x:v>Average net salary income</x:v>
      </x:c>
    </x:row>
    <x:row r="19">
      <x:c r="A19" s="15" t="n">
        <x:v>45699</x:v>
      </x:c>
      <x:c r="B19" s="16" t="str">
        <x:v>Utilities</x:v>
      </x:c>
      <x:c r="C19" s="16" t="str">
        <x:v>Expense</x:v>
      </x:c>
      <x:c r="D19" s="17" t="n">
        <x:v>276</x:v>
      </x:c>
      <x:c r="E19" s="16" t="str">
        <x:v>Bank</x:v>
      </x:c>
      <x:c r="F19" s="16" t="str">
        <x:v>Utilities bill</x:v>
      </x:c>
    </x:row>
    <x:row r="20">
      <x:c r="A20" s="15" t="n">
        <x:v>45701</x:v>
      </x:c>
      <x:c r="B20" s="16" t="str">
        <x:v>Transport</x:v>
      </x:c>
      <x:c r="C20" s="16" t="str">
        <x:v>Expense</x:v>
      </x:c>
      <x:c r="D20" s="17" t="n">
        <x:v>92</x:v>
      </x:c>
      <x:c r="E20" s="16" t="str">
        <x:v>Cash</x:v>
      </x:c>
      <x:c r="F20" s="16" t="str">
        <x:v>Transport expense</x:v>
      </x:c>
    </x:row>
    <x:row r="21">
      <x:c r="A21" s="15" t="n">
        <x:v>45706</x:v>
      </x:c>
      <x:c r="B21" s="16" t="str">
        <x:v>Food</x:v>
      </x:c>
      <x:c r="C21" s="16" t="str">
        <x:v>Expense</x:v>
      </x:c>
      <x:c r="D21" s="17" t="n">
        <x:v>211</x:v>
      </x:c>
      <x:c r="E21" s="16" t="str">
        <x:v>Cash</x:v>
      </x:c>
      <x:c r="F21" s="16" t="str">
        <x:v>Groceries / meals</x:v>
      </x:c>
    </x:row>
    <x:row r="22">
      <x:c r="A22" s="15" t="n">
        <x:v>45707</x:v>
      </x:c>
      <x:c r="B22" s="16" t="str">
        <x:v>Food</x:v>
      </x:c>
      <x:c r="C22" s="16" t="str">
        <x:v>Expense</x:v>
      </x:c>
      <x:c r="D22" s="17" t="n">
        <x:v>229</x:v>
      </x:c>
      <x:c r="E22" s="16" t="str">
        <x:v>Card</x:v>
      </x:c>
      <x:c r="F22" s="16" t="str">
        <x:v>Groceries / meals</x:v>
      </x:c>
    </x:row>
    <x:row r="23">
      <x:c r="A23" s="15" t="n">
        <x:v>45713</x:v>
      </x:c>
      <x:c r="B23" s="16" t="str">
        <x:v>Entertainment</x:v>
      </x:c>
      <x:c r="C23" s="16" t="str">
        <x:v>Expense</x:v>
      </x:c>
      <x:c r="D23" s="17" t="n">
        <x:v>154</x:v>
      </x:c>
      <x:c r="E23" s="16" t="str">
        <x:v>Card</x:v>
      </x:c>
      <x:c r="F23" s="16" t="str">
        <x:v>Leisure expense</x:v>
      </x:c>
    </x:row>
    <x:row r="24">
      <x:c r="A24" s="15" t="n">
        <x:v>45714</x:v>
      </x:c>
      <x:c r="B24" s="16" t="str">
        <x:v>Food</x:v>
      </x:c>
      <x:c r="C24" s="16" t="str">
        <x:v>Expense</x:v>
      </x:c>
      <x:c r="D24" s="17" t="n">
        <x:v>191</x:v>
      </x:c>
      <x:c r="E24" s="16" t="str">
        <x:v>Cash</x:v>
      </x:c>
      <x:c r="F24" s="16" t="str">
        <x:v>Groceries / meals</x:v>
      </x:c>
    </x:row>
    <x:row r="25">
      <x:c r="A25" s="15" t="n">
        <x:v>45714</x:v>
      </x:c>
      <x:c r="B25" s="16" t="str">
        <x:v>Investments</x:v>
      </x:c>
      <x:c r="C25" s="16" t="str">
        <x:v>Expense</x:v>
      </x:c>
      <x:c r="D25" s="17" t="n">
        <x:v>471</x:v>
      </x:c>
      <x:c r="E25" s="16" t="str">
        <x:v>Bank</x:v>
      </x:c>
      <x:c r="F25" s="16" t="str">
        <x:v>Monthly investment / savings</x:v>
      </x:c>
    </x:row>
    <x:row r="26">
      <x:c r="A26" s="15" t="n">
        <x:v>45716</x:v>
      </x:c>
      <x:c r="B26" s="16" t="str">
        <x:v>Transport</x:v>
      </x:c>
      <x:c r="C26" s="16" t="str">
        <x:v>Expense</x:v>
      </x:c>
      <x:c r="D26" s="17" t="n">
        <x:v>124</x:v>
      </x:c>
      <x:c r="E26" s="16" t="str">
        <x:v>Cash</x:v>
      </x:c>
      <x:c r="F26" s="16" t="str">
        <x:v>Transport expense</x:v>
      </x:c>
    </x:row>
    <x:row r="27">
      <x:c r="A27" s="15" t="n">
        <x:v>45716</x:v>
      </x:c>
      <x:c r="B27" s="16" t="str">
        <x:v>Entertainment</x:v>
      </x:c>
      <x:c r="C27" s="16" t="str">
        <x:v>Expense</x:v>
      </x:c>
      <x:c r="D27" s="17" t="n">
        <x:v>139</x:v>
      </x:c>
      <x:c r="E27" s="16" t="str">
        <x:v>Card</x:v>
      </x:c>
      <x:c r="F27" s="16" t="str">
        <x:v>Leisure expense</x:v>
      </x:c>
    </x:row>
    <x:row r="28">
      <x:c r="A28" s="15" t="n">
        <x:v>45719</x:v>
      </x:c>
      <x:c r="B28" s="16" t="str">
        <x:v>Rent</x:v>
      </x:c>
      <x:c r="C28" s="16" t="str">
        <x:v>Expense</x:v>
      </x:c>
      <x:c r="D28" s="17" t="n">
        <x:v>1816</x:v>
      </x:c>
      <x:c r="E28" s="16" t="str">
        <x:v>Bank</x:v>
      </x:c>
      <x:c r="F28" s="16" t="str">
        <x:v>Monthly rent</x:v>
      </x:c>
    </x:row>
    <x:row r="29">
      <x:c r="A29" s="15" t="n">
        <x:v>45721</x:v>
      </x:c>
      <x:c r="B29" s="16" t="str">
        <x:v>Salary</x:v>
      </x:c>
      <x:c r="C29" s="16" t="str">
        <x:v>Income</x:v>
      </x:c>
      <x:c r="D29" s="17" t="n">
        <x:v>5520</x:v>
      </x:c>
      <x:c r="E29" s="16" t="str">
        <x:v>Bank</x:v>
      </x:c>
      <x:c r="F29" s="16" t="str">
        <x:v>Average net salary income</x:v>
      </x:c>
    </x:row>
    <x:row r="30">
      <x:c r="A30" s="15" t="n">
        <x:v>45722</x:v>
      </x:c>
      <x:c r="B30" s="16" t="str">
        <x:v>Food</x:v>
      </x:c>
      <x:c r="C30" s="16" t="str">
        <x:v>Expense</x:v>
      </x:c>
      <x:c r="D30" s="17" t="n">
        <x:v>298</x:v>
      </x:c>
      <x:c r="E30" s="16" t="str">
        <x:v>Cash</x:v>
      </x:c>
      <x:c r="F30" s="16" t="str">
        <x:v>Groceries / meals</x:v>
      </x:c>
    </x:row>
    <x:row r="31">
      <x:c r="A31" s="15" t="n">
        <x:v>45723</x:v>
      </x:c>
      <x:c r="B31" s="16" t="str">
        <x:v>Entertainment</x:v>
      </x:c>
      <x:c r="C31" s="16" t="str">
        <x:v>Expense</x:v>
      </x:c>
      <x:c r="D31" s="17" t="n">
        <x:v>160</x:v>
      </x:c>
      <x:c r="E31" s="16" t="str">
        <x:v>Card</x:v>
      </x:c>
      <x:c r="F31" s="16" t="str">
        <x:v>Leisure expense</x:v>
      </x:c>
    </x:row>
    <x:row r="32">
      <x:c r="A32" s="15" t="n">
        <x:v>45725</x:v>
      </x:c>
      <x:c r="B32" s="16" t="str">
        <x:v>Food</x:v>
      </x:c>
      <x:c r="C32" s="16" t="str">
        <x:v>Expense</x:v>
      </x:c>
      <x:c r="D32" s="17" t="n">
        <x:v>236</x:v>
      </x:c>
      <x:c r="E32" s="16" t="str">
        <x:v>Cash</x:v>
      </x:c>
      <x:c r="F32" s="16" t="str">
        <x:v>Groceries / meals</x:v>
      </x:c>
    </x:row>
    <x:row r="33">
      <x:c r="A33" s="15" t="n">
        <x:v>45728</x:v>
      </x:c>
      <x:c r="B33" s="16" t="str">
        <x:v>Utilities</x:v>
      </x:c>
      <x:c r="C33" s="16" t="str">
        <x:v>Expense</x:v>
      </x:c>
      <x:c r="D33" s="17" t="n">
        <x:v>343</x:v>
      </x:c>
      <x:c r="E33" s="16" t="str">
        <x:v>Bank</x:v>
      </x:c>
      <x:c r="F33" s="16" t="str">
        <x:v>Utilities bill</x:v>
      </x:c>
    </x:row>
    <x:row r="34">
      <x:c r="A34" s="15" t="n">
        <x:v>45728</x:v>
      </x:c>
      <x:c r="B34" s="16" t="str">
        <x:v>Transport</x:v>
      </x:c>
      <x:c r="C34" s="16" t="str">
        <x:v>Expense</x:v>
      </x:c>
      <x:c r="D34" s="17" t="n">
        <x:v>125</x:v>
      </x:c>
      <x:c r="E34" s="16" t="str">
        <x:v>Card</x:v>
      </x:c>
      <x:c r="F34" s="16" t="str">
        <x:v>Transport expense</x:v>
      </x:c>
    </x:row>
    <x:row r="35">
      <x:c r="A35" s="15" t="n">
        <x:v>45729</x:v>
      </x:c>
      <x:c r="B35" s="16" t="str">
        <x:v>Entertainment</x:v>
      </x:c>
      <x:c r="C35" s="16" t="str">
        <x:v>Expense</x:v>
      </x:c>
      <x:c r="D35" s="17" t="n">
        <x:v>148</x:v>
      </x:c>
      <x:c r="E35" s="16" t="str">
        <x:v>Card</x:v>
      </x:c>
      <x:c r="F35" s="16" t="str">
        <x:v>Leisure expense</x:v>
      </x:c>
    </x:row>
    <x:row r="36">
      <x:c r="A36" s="15" t="n">
        <x:v>45736</x:v>
      </x:c>
      <x:c r="B36" s="16" t="str">
        <x:v>Food</x:v>
      </x:c>
      <x:c r="C36" s="16" t="str">
        <x:v>Expense</x:v>
      </x:c>
      <x:c r="D36" s="17" t="n">
        <x:v>223</x:v>
      </x:c>
      <x:c r="E36" s="16" t="str">
        <x:v>Card</x:v>
      </x:c>
      <x:c r="F36" s="16" t="str">
        <x:v>Groceries / meals</x:v>
      </x:c>
    </x:row>
    <x:row r="37">
      <x:c r="A37" s="15" t="n">
        <x:v>45738</x:v>
      </x:c>
      <x:c r="B37" s="16" t="str">
        <x:v>Transport</x:v>
      </x:c>
      <x:c r="C37" s="16" t="str">
        <x:v>Expense</x:v>
      </x:c>
      <x:c r="D37" s="17" t="n">
        <x:v>114</x:v>
      </x:c>
      <x:c r="E37" s="16" t="str">
        <x:v>Card</x:v>
      </x:c>
      <x:c r="F37" s="16" t="str">
        <x:v>Transport expense</x:v>
      </x:c>
    </x:row>
    <x:row r="38">
      <x:c r="A38" s="15" t="n">
        <x:v>45743</x:v>
      </x:c>
      <x:c r="B38" s="16" t="str">
        <x:v>Food</x:v>
      </x:c>
      <x:c r="C38" s="16" t="str">
        <x:v>Expense</x:v>
      </x:c>
      <x:c r="D38" s="17" t="n">
        <x:v>194</x:v>
      </x:c>
      <x:c r="E38" s="16" t="str">
        <x:v>Card</x:v>
      </x:c>
      <x:c r="F38" s="16" t="str">
        <x:v>Groceries / meals</x:v>
      </x:c>
    </x:row>
    <x:row r="39">
      <x:c r="A39" s="15" t="n">
        <x:v>45743</x:v>
      </x:c>
      <x:c r="B39" s="16" t="str">
        <x:v>Healthcare</x:v>
      </x:c>
      <x:c r="C39" s="16" t="str">
        <x:v>Expense</x:v>
      </x:c>
      <x:c r="D39" s="17" t="n">
        <x:v>74</x:v>
      </x:c>
      <x:c r="E39" s="16" t="str">
        <x:v>Cash</x:v>
      </x:c>
      <x:c r="F39" s="16" t="str">
        <x:v>Health expense</x:v>
      </x:c>
    </x:row>
    <x:row r="40">
      <x:c r="A40" s="15" t="n">
        <x:v>45743</x:v>
      </x:c>
      <x:c r="B40" s="16" t="str">
        <x:v>Investments</x:v>
      </x:c>
      <x:c r="C40" s="16" t="str">
        <x:v>Expense</x:v>
      </x:c>
      <x:c r="D40" s="17" t="n">
        <x:v>501</x:v>
      </x:c>
      <x:c r="E40" s="16" t="str">
        <x:v>Bank</x:v>
      </x:c>
      <x:c r="F40" s="16" t="str">
        <x:v>Monthly investment / savings</x:v>
      </x:c>
    </x:row>
    <x:row r="41">
      <x:c r="A41" s="15" t="n">
        <x:v>45749</x:v>
      </x:c>
      <x:c r="B41" s="16" t="str">
        <x:v>Rent</x:v>
      </x:c>
      <x:c r="C41" s="16" t="str">
        <x:v>Expense</x:v>
      </x:c>
      <x:c r="D41" s="17" t="n">
        <x:v>1864</x:v>
      </x:c>
      <x:c r="E41" s="16" t="str">
        <x:v>Bank</x:v>
      </x:c>
      <x:c r="F41" s="16" t="str">
        <x:v>Monthly rent</x:v>
      </x:c>
    </x:row>
    <x:row r="42">
      <x:c r="A42" s="15" t="n">
        <x:v>45750</x:v>
      </x:c>
      <x:c r="B42" s="16" t="str">
        <x:v>Food</x:v>
      </x:c>
      <x:c r="C42" s="16" t="str">
        <x:v>Expense</x:v>
      </x:c>
      <x:c r="D42" s="17" t="n">
        <x:v>192</x:v>
      </x:c>
      <x:c r="E42" s="16" t="str">
        <x:v>Card</x:v>
      </x:c>
      <x:c r="F42" s="16" t="str">
        <x:v>Groceries / meals</x:v>
      </x:c>
    </x:row>
    <x:row r="43">
      <x:c r="A43" s="15" t="n">
        <x:v>45752</x:v>
      </x:c>
      <x:c r="B43" s="16" t="str">
        <x:v>Salary</x:v>
      </x:c>
      <x:c r="C43" s="16" t="str">
        <x:v>Income</x:v>
      </x:c>
      <x:c r="D43" s="17" t="n">
        <x:v>5550</x:v>
      </x:c>
      <x:c r="E43" s="16" t="str">
        <x:v>Bank</x:v>
      </x:c>
      <x:c r="F43" s="16" t="str">
        <x:v>Average net salary income</x:v>
      </x:c>
    </x:row>
    <x:row r="44">
      <x:c r="A44" s="15" t="n">
        <x:v>45752</x:v>
      </x:c>
      <x:c r="B44" s="16" t="str">
        <x:v>Transport</x:v>
      </x:c>
      <x:c r="C44" s="16" t="str">
        <x:v>Expense</x:v>
      </x:c>
      <x:c r="D44" s="17" t="n">
        <x:v>111</x:v>
      </x:c>
      <x:c r="E44" s="16" t="str">
        <x:v>Cash</x:v>
      </x:c>
      <x:c r="F44" s="16" t="str">
        <x:v>Transport expense</x:v>
      </x:c>
    </x:row>
    <x:row r="45">
      <x:c r="A45" s="15" t="n">
        <x:v>45752</x:v>
      </x:c>
      <x:c r="B45" s="16" t="str">
        <x:v>Food</x:v>
      </x:c>
      <x:c r="C45" s="16" t="str">
        <x:v>Expense</x:v>
      </x:c>
      <x:c r="D45" s="17" t="n">
        <x:v>220</x:v>
      </x:c>
      <x:c r="E45" s="16" t="str">
        <x:v>Cash</x:v>
      </x:c>
      <x:c r="F45" s="16" t="str">
        <x:v>Groceries / meals</x:v>
      </x:c>
    </x:row>
    <x:row r="46">
      <x:c r="A46" s="15" t="n">
        <x:v>45755</x:v>
      </x:c>
      <x:c r="B46" s="16" t="str">
        <x:v>Food</x:v>
      </x:c>
      <x:c r="C46" s="16" t="str">
        <x:v>Expense</x:v>
      </x:c>
      <x:c r="D46" s="17" t="n">
        <x:v>215</x:v>
      </x:c>
      <x:c r="E46" s="16" t="str">
        <x:v>Cash</x:v>
      </x:c>
      <x:c r="F46" s="16" t="str">
        <x:v>Groceries / meals</x:v>
      </x:c>
    </x:row>
    <x:row r="47">
      <x:c r="A47" s="15" t="n">
        <x:v>45760</x:v>
      </x:c>
      <x:c r="B47" s="16" t="str">
        <x:v>Entertainment</x:v>
      </x:c>
      <x:c r="C47" s="16" t="str">
        <x:v>Expense</x:v>
      </x:c>
      <x:c r="D47" s="17" t="n">
        <x:v>199</x:v>
      </x:c>
      <x:c r="E47" s="16" t="str">
        <x:v>Cash</x:v>
      </x:c>
      <x:c r="F47" s="16" t="str">
        <x:v>Leisure expense</x:v>
      </x:c>
    </x:row>
    <x:row r="48">
      <x:c r="A48" s="15" t="n">
        <x:v>45761</x:v>
      </x:c>
      <x:c r="B48" s="16" t="str">
        <x:v>Utilities</x:v>
      </x:c>
      <x:c r="C48" s="16" t="str">
        <x:v>Expense</x:v>
      </x:c>
      <x:c r="D48" s="17" t="n">
        <x:v>286</x:v>
      </x:c>
      <x:c r="E48" s="16" t="str">
        <x:v>Bank</x:v>
      </x:c>
      <x:c r="F48" s="16" t="str">
        <x:v>Utilities bill</x:v>
      </x:c>
    </x:row>
    <x:row r="49">
      <x:c r="A49" s="15" t="n">
        <x:v>45765</x:v>
      </x:c>
      <x:c r="B49" s="16" t="str">
        <x:v>Entertainment</x:v>
      </x:c>
      <x:c r="C49" s="16" t="str">
        <x:v>Expense</x:v>
      </x:c>
      <x:c r="D49" s="17" t="n">
        <x:v>82</x:v>
      </x:c>
      <x:c r="E49" s="16" t="str">
        <x:v>Card</x:v>
      </x:c>
      <x:c r="F49" s="16" t="str">
        <x:v>Leisure expense</x:v>
      </x:c>
    </x:row>
    <x:row r="50">
      <x:c r="A50" s="15" t="n">
        <x:v>45766</x:v>
      </x:c>
      <x:c r="B50" s="16" t="str">
        <x:v>Food</x:v>
      </x:c>
      <x:c r="C50" s="16" t="str">
        <x:v>Expense</x:v>
      </x:c>
      <x:c r="D50" s="17" t="n">
        <x:v>282</x:v>
      </x:c>
      <x:c r="E50" s="16" t="str">
        <x:v>Cash</x:v>
      </x:c>
      <x:c r="F50" s="16" t="str">
        <x:v>Groceries / meals</x:v>
      </x:c>
    </x:row>
    <x:row r="51">
      <x:c r="A51" s="15" t="n">
        <x:v>45767</x:v>
      </x:c>
      <x:c r="B51" s="16" t="str">
        <x:v>Healthcare</x:v>
      </x:c>
      <x:c r="C51" s="16" t="str">
        <x:v>Expense</x:v>
      </x:c>
      <x:c r="D51" s="17" t="n">
        <x:v>78</x:v>
      </x:c>
      <x:c r="E51" s="16" t="str">
        <x:v>Cash</x:v>
      </x:c>
      <x:c r="F51" s="16" t="str">
        <x:v>Health expense</x:v>
      </x:c>
    </x:row>
    <x:row r="52">
      <x:c r="A52" s="15" t="n">
        <x:v>45771</x:v>
      </x:c>
      <x:c r="B52" s="16" t="str">
        <x:v>Transport</x:v>
      </x:c>
      <x:c r="C52" s="16" t="str">
        <x:v>Expense</x:v>
      </x:c>
      <x:c r="D52" s="17" t="n">
        <x:v>154</x:v>
      </x:c>
      <x:c r="E52" s="16" t="str">
        <x:v>Cash</x:v>
      </x:c>
      <x:c r="F52" s="16" t="str">
        <x:v>Transport expense</x:v>
      </x:c>
    </x:row>
    <x:row r="53">
      <x:c r="A53" s="15" t="n">
        <x:v>45775</x:v>
      </x:c>
      <x:c r="B53" s="16" t="str">
        <x:v>Investments</x:v>
      </x:c>
      <x:c r="C53" s="16" t="str">
        <x:v>Expense</x:v>
      </x:c>
      <x:c r="D53" s="17" t="n">
        <x:v>592</x:v>
      </x:c>
      <x:c r="E53" s="16" t="str">
        <x:v>Bank</x:v>
      </x:c>
      <x:c r="F53" s="16" t="str">
        <x:v>Monthly investment / savings</x:v>
      </x:c>
    </x:row>
    <x:row r="54">
      <x:c r="A54" s="15" t="n">
        <x:v>45778</x:v>
      </x:c>
      <x:c r="B54" s="16" t="str">
        <x:v>Entertainment</x:v>
      </x:c>
      <x:c r="C54" s="16" t="str">
        <x:v>Expense</x:v>
      </x:c>
      <x:c r="D54" s="17" t="n">
        <x:v>108</x:v>
      </x:c>
      <x:c r="E54" s="16" t="str">
        <x:v>Cash</x:v>
      </x:c>
      <x:c r="F54" s="16" t="str">
        <x:v>Leisure expense</x:v>
      </x:c>
    </x:row>
    <x:row r="55">
      <x:c r="A55" s="15" t="n">
        <x:v>45780</x:v>
      </x:c>
      <x:c r="B55" s="16" t="str">
        <x:v>Rent</x:v>
      </x:c>
      <x:c r="C55" s="16" t="str">
        <x:v>Expense</x:v>
      </x:c>
      <x:c r="D55" s="17" t="n">
        <x:v>1768</x:v>
      </x:c>
      <x:c r="E55" s="16" t="str">
        <x:v>Bank</x:v>
      </x:c>
      <x:c r="F55" s="16" t="str">
        <x:v>Monthly rent</x:v>
      </x:c>
    </x:row>
    <x:row r="56">
      <x:c r="A56" s="15" t="n">
        <x:v>45782</x:v>
      </x:c>
      <x:c r="B56" s="16" t="str">
        <x:v>Salary</x:v>
      </x:c>
      <x:c r="C56" s="16" t="str">
        <x:v>Income</x:v>
      </x:c>
      <x:c r="D56" s="17" t="n">
        <x:v>5580</x:v>
      </x:c>
      <x:c r="E56" s="16" t="str">
        <x:v>Bank</x:v>
      </x:c>
      <x:c r="F56" s="16" t="str">
        <x:v>Average net salary income</x:v>
      </x:c>
    </x:row>
    <x:row r="57">
      <x:c r="A57" s="15" t="n">
        <x:v>45782</x:v>
      </x:c>
      <x:c r="B57" s="16" t="str">
        <x:v>Food</x:v>
      </x:c>
      <x:c r="C57" s="16" t="str">
        <x:v>Expense</x:v>
      </x:c>
      <x:c r="D57" s="17" t="n">
        <x:v>275</x:v>
      </x:c>
      <x:c r="E57" s="16" t="str">
        <x:v>Card</x:v>
      </x:c>
      <x:c r="F57" s="16" t="str">
        <x:v>Groceries / meals</x:v>
      </x:c>
    </x:row>
    <x:row r="58">
      <x:c r="A58" s="15" t="n">
        <x:v>45787</x:v>
      </x:c>
      <x:c r="B58" s="16" t="str">
        <x:v>Transport</x:v>
      </x:c>
      <x:c r="C58" s="16" t="str">
        <x:v>Expense</x:v>
      </x:c>
      <x:c r="D58" s="17" t="n">
        <x:v>135</x:v>
      </x:c>
      <x:c r="E58" s="16" t="str">
        <x:v>Card</x:v>
      </x:c>
      <x:c r="F58" s="16" t="str">
        <x:v>Transport expense</x:v>
      </x:c>
    </x:row>
    <x:row r="59">
      <x:c r="A59" s="15" t="n">
        <x:v>45788</x:v>
      </x:c>
      <x:c r="B59" s="16" t="str">
        <x:v>Utilities</x:v>
      </x:c>
      <x:c r="C59" s="16" t="str">
        <x:v>Expense</x:v>
      </x:c>
      <x:c r="D59" s="17" t="n">
        <x:v>337</x:v>
      </x:c>
      <x:c r="E59" s="16" t="str">
        <x:v>Bank</x:v>
      </x:c>
      <x:c r="F59" s="16" t="str">
        <x:v>Utilities bill</x:v>
      </x:c>
    </x:row>
    <x:row r="60">
      <x:c r="A60" s="15" t="n">
        <x:v>45792</x:v>
      </x:c>
      <x:c r="B60" s="16" t="str">
        <x:v>Transport</x:v>
      </x:c>
      <x:c r="C60" s="16" t="str">
        <x:v>Expense</x:v>
      </x:c>
      <x:c r="D60" s="17" t="n">
        <x:v>80</x:v>
      </x:c>
      <x:c r="E60" s="16" t="str">
        <x:v>Cash</x:v>
      </x:c>
      <x:c r="F60" s="16" t="str">
        <x:v>Transport expense</x:v>
      </x:c>
    </x:row>
    <x:row r="61">
      <x:c r="A61" s="15" t="n">
        <x:v>45794</x:v>
      </x:c>
      <x:c r="B61" s="16" t="str">
        <x:v>Food</x:v>
      </x:c>
      <x:c r="C61" s="16" t="str">
        <x:v>Expense</x:v>
      </x:c>
      <x:c r="D61" s="17" t="n">
        <x:v>225</x:v>
      </x:c>
      <x:c r="E61" s="16" t="str">
        <x:v>Card</x:v>
      </x:c>
      <x:c r="F61" s="16" t="str">
        <x:v>Groceries / meals</x:v>
      </x:c>
    </x:row>
    <x:row r="62">
      <x:c r="A62" s="15" t="n">
        <x:v>45795</x:v>
      </x:c>
      <x:c r="B62" s="16" t="str">
        <x:v>Food</x:v>
      </x:c>
      <x:c r="C62" s="16" t="str">
        <x:v>Expense</x:v>
      </x:c>
      <x:c r="D62" s="17" t="n">
        <x:v>315</x:v>
      </x:c>
      <x:c r="E62" s="16" t="str">
        <x:v>Card</x:v>
      </x:c>
      <x:c r="F62" s="16" t="str">
        <x:v>Groceries / meals</x:v>
      </x:c>
    </x:row>
    <x:row r="63">
      <x:c r="A63" s="15" t="n">
        <x:v>45797</x:v>
      </x:c>
      <x:c r="B63" s="16" t="str">
        <x:v>Healthcare</x:v>
      </x:c>
      <x:c r="C63" s="16" t="str">
        <x:v>Expense</x:v>
      </x:c>
      <x:c r="D63" s="17" t="n">
        <x:v>111</x:v>
      </x:c>
      <x:c r="E63" s="16" t="str">
        <x:v>Cash</x:v>
      </x:c>
      <x:c r="F63" s="16" t="str">
        <x:v>Health expense</x:v>
      </x:c>
    </x:row>
    <x:row r="64">
      <x:c r="A64" s="15" t="n">
        <x:v>45797</x:v>
      </x:c>
      <x:c r="B64" s="16" t="str">
        <x:v>Investments</x:v>
      </x:c>
      <x:c r="C64" s="16" t="str">
        <x:v>Expense</x:v>
      </x:c>
      <x:c r="D64" s="17" t="n">
        <x:v>461</x:v>
      </x:c>
      <x:c r="E64" s="16" t="str">
        <x:v>Bank</x:v>
      </x:c>
      <x:c r="F64" s="16" t="str">
        <x:v>Monthly investment / savings</x:v>
      </x:c>
    </x:row>
    <x:row r="65">
      <x:c r="A65" s="15" t="n">
        <x:v>45804</x:v>
      </x:c>
      <x:c r="B65" s="16" t="str">
        <x:v>Entertainment</x:v>
      </x:c>
      <x:c r="C65" s="16" t="str">
        <x:v>Expense</x:v>
      </x:c>
      <x:c r="D65" s="17" t="n">
        <x:v>158</x:v>
      </x:c>
      <x:c r="E65" s="16" t="str">
        <x:v>Card</x:v>
      </x:c>
      <x:c r="F65" s="16" t="str">
        <x:v>Leisure expense</x:v>
      </x:c>
    </x:row>
    <x:row r="66">
      <x:c r="A66" s="15" t="n">
        <x:v>45805</x:v>
      </x:c>
      <x:c r="B66" s="16" t="str">
        <x:v>Food</x:v>
      </x:c>
      <x:c r="C66" s="16" t="str">
        <x:v>Expense</x:v>
      </x:c>
      <x:c r="D66" s="17" t="n">
        <x:v>256</x:v>
      </x:c>
      <x:c r="E66" s="16" t="str">
        <x:v>Card</x:v>
      </x:c>
      <x:c r="F66" s="16" t="str">
        <x:v>Groceries / meals</x:v>
      </x:c>
    </x:row>
    <x:row r="67">
      <x:c r="A67" s="15" t="n">
        <x:v>45809</x:v>
      </x:c>
      <x:c r="B67" s="16" t="str">
        <x:v>Rent</x:v>
      </x:c>
      <x:c r="C67" s="16" t="str">
        <x:v>Expense</x:v>
      </x:c>
      <x:c r="D67" s="17" t="n">
        <x:v>1845</x:v>
      </x:c>
      <x:c r="E67" s="16" t="str">
        <x:v>Bank</x:v>
      </x:c>
      <x:c r="F67" s="16" t="str">
        <x:v>Monthly rent</x:v>
      </x:c>
    </x:row>
    <x:row r="68">
      <x:c r="A68" s="15" t="n">
        <x:v>45813</x:v>
      </x:c>
      <x:c r="B68" s="16" t="str">
        <x:v>Salary</x:v>
      </x:c>
      <x:c r="C68" s="16" t="str">
        <x:v>Income</x:v>
      </x:c>
      <x:c r="D68" s="17" t="n">
        <x:v>5600</x:v>
      </x:c>
      <x:c r="E68" s="16" t="str">
        <x:v>Bank</x:v>
      </x:c>
      <x:c r="F68" s="16" t="str">
        <x:v>Average net salary income</x:v>
      </x:c>
    </x:row>
    <x:row r="69">
      <x:c r="A69" s="15" t="n">
        <x:v>45813</x:v>
      </x:c>
      <x:c r="B69" s="16" t="str">
        <x:v>Transport</x:v>
      </x:c>
      <x:c r="C69" s="16" t="str">
        <x:v>Expense</x:v>
      </x:c>
      <x:c r="D69" s="17" t="n">
        <x:v>140</x:v>
      </x:c>
      <x:c r="E69" s="16" t="str">
        <x:v>Card</x:v>
      </x:c>
      <x:c r="F69" s="16" t="str">
        <x:v>Transport expense</x:v>
      </x:c>
    </x:row>
    <x:row r="70">
      <x:c r="A70" s="15" t="n">
        <x:v>45815</x:v>
      </x:c>
      <x:c r="B70" s="16" t="str">
        <x:v>Food</x:v>
      </x:c>
      <x:c r="C70" s="16" t="str">
        <x:v>Expense</x:v>
      </x:c>
      <x:c r="D70" s="17" t="n">
        <x:v>318</x:v>
      </x:c>
      <x:c r="E70" s="16" t="str">
        <x:v>Card</x:v>
      </x:c>
      <x:c r="F70" s="16" t="str">
        <x:v>Groceries / meals</x:v>
      </x:c>
    </x:row>
    <x:row r="71">
      <x:c r="A71" s="15" t="n">
        <x:v>45816</x:v>
      </x:c>
      <x:c r="B71" s="16" t="str">
        <x:v>Entertainment</x:v>
      </x:c>
      <x:c r="C71" s="16" t="str">
        <x:v>Expense</x:v>
      </x:c>
      <x:c r="D71" s="17" t="n">
        <x:v>137</x:v>
      </x:c>
      <x:c r="E71" s="16" t="str">
        <x:v>Card</x:v>
      </x:c>
      <x:c r="F71" s="16" t="str">
        <x:v>Leisure expense</x:v>
      </x:c>
    </x:row>
    <x:row r="72">
      <x:c r="A72" s="15" t="n">
        <x:v>45817</x:v>
      </x:c>
      <x:c r="B72" s="16" t="str">
        <x:v>Food</x:v>
      </x:c>
      <x:c r="C72" s="16" t="str">
        <x:v>Expense</x:v>
      </x:c>
      <x:c r="D72" s="17" t="n">
        <x:v>315</x:v>
      </x:c>
      <x:c r="E72" s="16" t="str">
        <x:v>Cash</x:v>
      </x:c>
      <x:c r="F72" s="16" t="str">
        <x:v>Groceries / meals</x:v>
      </x:c>
    </x:row>
    <x:row r="73">
      <x:c r="A73" s="15" t="n">
        <x:v>45819</x:v>
      </x:c>
      <x:c r="B73" s="16" t="str">
        <x:v>Entertainment</x:v>
      </x:c>
      <x:c r="C73" s="16" t="str">
        <x:v>Expense</x:v>
      </x:c>
      <x:c r="D73" s="17" t="n">
        <x:v>85</x:v>
      </x:c>
      <x:c r="E73" s="16" t="str">
        <x:v>Card</x:v>
      </x:c>
      <x:c r="F73" s="16" t="str">
        <x:v>Leisure expense</x:v>
      </x:c>
    </x:row>
    <x:row r="74">
      <x:c r="A74" s="15" t="n">
        <x:v>45825</x:v>
      </x:c>
      <x:c r="B74" s="16" t="str">
        <x:v>Utilities</x:v>
      </x:c>
      <x:c r="C74" s="16" t="str">
        <x:v>Expense</x:v>
      </x:c>
      <x:c r="D74" s="17" t="n">
        <x:v>271</x:v>
      </x:c>
      <x:c r="E74" s="16" t="str">
        <x:v>Bank</x:v>
      </x:c>
      <x:c r="F74" s="16" t="str">
        <x:v>Utilities bill</x:v>
      </x:c>
    </x:row>
    <x:row r="75">
      <x:c r="A75" s="15" t="n">
        <x:v>45825</x:v>
      </x:c>
      <x:c r="B75" s="16" t="str">
        <x:v>Healthcare</x:v>
      </x:c>
      <x:c r="C75" s="16" t="str">
        <x:v>Expense</x:v>
      </x:c>
      <x:c r="D75" s="17" t="n">
        <x:v>127</x:v>
      </x:c>
      <x:c r="E75" s="16" t="str">
        <x:v>Card</x:v>
      </x:c>
      <x:c r="F75" s="16" t="str">
        <x:v>Health expense</x:v>
      </x:c>
    </x:row>
    <x:row r="76">
      <x:c r="A76" s="15" t="n">
        <x:v>45830</x:v>
      </x:c>
      <x:c r="B76" s="16" t="str">
        <x:v>Food</x:v>
      </x:c>
      <x:c r="C76" s="16" t="str">
        <x:v>Expense</x:v>
      </x:c>
      <x:c r="D76" s="17" t="n">
        <x:v>275</x:v>
      </x:c>
      <x:c r="E76" s="16" t="str">
        <x:v>Cash</x:v>
      </x:c>
      <x:c r="F76" s="16" t="str">
        <x:v>Groceries / meals</x:v>
      </x:c>
    </x:row>
    <x:row r="77">
      <x:c r="A77" s="15" t="n">
        <x:v>45831</x:v>
      </x:c>
      <x:c r="B77" s="16" t="str">
        <x:v>Food</x:v>
      </x:c>
      <x:c r="C77" s="16" t="str">
        <x:v>Expense</x:v>
      </x:c>
      <x:c r="D77" s="17" t="n">
        <x:v>259</x:v>
      </x:c>
      <x:c r="E77" s="16" t="str">
        <x:v>Cash</x:v>
      </x:c>
      <x:c r="F77" s="16" t="str">
        <x:v>Groceries / meals</x:v>
      </x:c>
    </x:row>
    <x:row r="78">
      <x:c r="A78" s="15" t="n">
        <x:v>45831</x:v>
      </x:c>
      <x:c r="B78" s="16" t="str">
        <x:v>Investments</x:v>
      </x:c>
      <x:c r="C78" s="16" t="str">
        <x:v>Expense</x:v>
      </x:c>
      <x:c r="D78" s="17" t="n">
        <x:v>401</x:v>
      </x:c>
      <x:c r="E78" s="16" t="str">
        <x:v>Bank</x:v>
      </x:c>
      <x:c r="F78" s="16" t="str">
        <x:v>Monthly investment / savings</x:v>
      </x:c>
    </x:row>
    <x:row r="79">
      <x:c r="A79" s="15" t="n">
        <x:v>45835</x:v>
      </x:c>
      <x:c r="B79" s="16" t="str">
        <x:v>Transport</x:v>
      </x:c>
      <x:c r="C79" s="16" t="str">
        <x:v>Expense</x:v>
      </x:c>
      <x:c r="D79" s="17" t="n">
        <x:v>88</x:v>
      </x:c>
      <x:c r="E79" s="16" t="str">
        <x:v>Card</x:v>
      </x:c>
      <x:c r="F79" s="16" t="str">
        <x:v>Transport expense</x:v>
      </x:c>
    </x:row>
    <x:row r="80">
      <x:c r="A80" s="15" t="n">
        <x:v>45841</x:v>
      </x:c>
      <x:c r="B80" s="16" t="str">
        <x:v>Rent</x:v>
      </x:c>
      <x:c r="C80" s="16" t="str">
        <x:v>Expense</x:v>
      </x:c>
      <x:c r="D80" s="17" t="n">
        <x:v>1718</x:v>
      </x:c>
      <x:c r="E80" s="16" t="str">
        <x:v>Bank</x:v>
      </x:c>
      <x:c r="F80" s="16" t="str">
        <x:v>Monthly rent</x:v>
      </x:c>
    </x:row>
    <x:row r="81">
      <x:c r="A81" s="15" t="n">
        <x:v>45843</x:v>
      </x:c>
      <x:c r="B81" s="16" t="str">
        <x:v>Salary</x:v>
      </x:c>
      <x:c r="C81" s="16" t="str">
        <x:v>Income</x:v>
      </x:c>
      <x:c r="D81" s="17" t="n">
        <x:v>5520</x:v>
      </x:c>
      <x:c r="E81" s="16" t="str">
        <x:v>Bank</x:v>
      </x:c>
      <x:c r="F81" s="16" t="str">
        <x:v>Average net salary income</x:v>
      </x:c>
    </x:row>
    <x:row r="82">
      <x:c r="A82" s="15" t="n">
        <x:v>45845</x:v>
      </x:c>
      <x:c r="B82" s="16" t="str">
        <x:v>Healthcare</x:v>
      </x:c>
      <x:c r="C82" s="16" t="str">
        <x:v>Expense</x:v>
      </x:c>
      <x:c r="D82" s="17" t="n">
        <x:v>82</x:v>
      </x:c>
      <x:c r="E82" s="16" t="str">
        <x:v>Card</x:v>
      </x:c>
      <x:c r="F82" s="16" t="str">
        <x:v>Health expense</x:v>
      </x:c>
    </x:row>
    <x:row r="83">
      <x:c r="A83" s="15" t="n">
        <x:v>45846</x:v>
      </x:c>
      <x:c r="B83" s="16" t="str">
        <x:v>Transport</x:v>
      </x:c>
      <x:c r="C83" s="16" t="str">
        <x:v>Expense</x:v>
      </x:c>
      <x:c r="D83" s="17" t="n">
        <x:v>88</x:v>
      </x:c>
      <x:c r="E83" s="16" t="str">
        <x:v>Card</x:v>
      </x:c>
      <x:c r="F83" s="16" t="str">
        <x:v>Transport expense</x:v>
      </x:c>
    </x:row>
    <x:row r="84">
      <x:c r="A84" s="15" t="n">
        <x:v>45846</x:v>
      </x:c>
      <x:c r="B84" s="16" t="str">
        <x:v>Food</x:v>
      </x:c>
      <x:c r="C84" s="16" t="str">
        <x:v>Expense</x:v>
      </x:c>
      <x:c r="D84" s="17" t="n">
        <x:v>301</x:v>
      </x:c>
      <x:c r="E84" s="16" t="str">
        <x:v>Cash</x:v>
      </x:c>
      <x:c r="F84" s="16" t="str">
        <x:v>Groceries / meals</x:v>
      </x:c>
    </x:row>
    <x:row r="85">
      <x:c r="A85" s="15" t="n">
        <x:v>45848</x:v>
      </x:c>
      <x:c r="B85" s="16" t="str">
        <x:v>Utilities</x:v>
      </x:c>
      <x:c r="C85" s="16" t="str">
        <x:v>Expense</x:v>
      </x:c>
      <x:c r="D85" s="17" t="n">
        <x:v>411</x:v>
      </x:c>
      <x:c r="E85" s="16" t="str">
        <x:v>Bank</x:v>
      </x:c>
      <x:c r="F85" s="16" t="str">
        <x:v>Utilities bill</x:v>
      </x:c>
    </x:row>
    <x:row r="86">
      <x:c r="A86" s="15" t="n">
        <x:v>45852</x:v>
      </x:c>
      <x:c r="B86" s="16" t="str">
        <x:v>Entertainment</x:v>
      </x:c>
      <x:c r="C86" s="16" t="str">
        <x:v>Expense</x:v>
      </x:c>
      <x:c r="D86" s="17" t="n">
        <x:v>185</x:v>
      </x:c>
      <x:c r="E86" s="16" t="str">
        <x:v>Cash</x:v>
      </x:c>
      <x:c r="F86" s="16" t="str">
        <x:v>Leisure expense</x:v>
      </x:c>
    </x:row>
    <x:row r="87">
      <x:c r="A87" s="15" t="n">
        <x:v>45855</x:v>
      </x:c>
      <x:c r="B87" s="16" t="str">
        <x:v>Food</x:v>
      </x:c>
      <x:c r="C87" s="16" t="str">
        <x:v>Expense</x:v>
      </x:c>
      <x:c r="D87" s="17" t="n">
        <x:v>240</x:v>
      </x:c>
      <x:c r="E87" s="16" t="str">
        <x:v>Cash</x:v>
      </x:c>
      <x:c r="F87" s="16" t="str">
        <x:v>Groceries / meals</x:v>
      </x:c>
    </x:row>
    <x:row r="88">
      <x:c r="A88" s="15" t="n">
        <x:v>45856</x:v>
      </x:c>
      <x:c r="B88" s="16" t="str">
        <x:v>Food</x:v>
      </x:c>
      <x:c r="C88" s="16" t="str">
        <x:v>Expense</x:v>
      </x:c>
      <x:c r="D88" s="17" t="n">
        <x:v>213</x:v>
      </x:c>
      <x:c r="E88" s="16" t="str">
        <x:v>Cash</x:v>
      </x:c>
      <x:c r="F88" s="16" t="str">
        <x:v>Groceries / meals</x:v>
      </x:c>
    </x:row>
    <x:row r="89">
      <x:c r="A89" s="15" t="n">
        <x:v>45858</x:v>
      </x:c>
      <x:c r="B89" s="16" t="str">
        <x:v>Investments</x:v>
      </x:c>
      <x:c r="C89" s="16" t="str">
        <x:v>Expense</x:v>
      </x:c>
      <x:c r="D89" s="17" t="n">
        <x:v>572</x:v>
      </x:c>
      <x:c r="E89" s="16" t="str">
        <x:v>Bank</x:v>
      </x:c>
      <x:c r="F89" s="16" t="str">
        <x:v>Monthly investment / savings</x:v>
      </x:c>
    </x:row>
    <x:row r="90">
      <x:c r="A90" s="15" t="n">
        <x:v>45860</x:v>
      </x:c>
      <x:c r="B90" s="16" t="str">
        <x:v>Food</x:v>
      </x:c>
      <x:c r="C90" s="16" t="str">
        <x:v>Expense</x:v>
      </x:c>
      <x:c r="D90" s="17" t="n">
        <x:v>304</x:v>
      </x:c>
      <x:c r="E90" s="16" t="str">
        <x:v>Card</x:v>
      </x:c>
      <x:c r="F90" s="16" t="str">
        <x:v>Groceries / meals</x:v>
      </x:c>
    </x:row>
    <x:row r="91">
      <x:c r="A91" s="15" t="n">
        <x:v>45860</x:v>
      </x:c>
      <x:c r="B91" s="16" t="str">
        <x:v>Entertainment</x:v>
      </x:c>
      <x:c r="C91" s="16" t="str">
        <x:v>Expense</x:v>
      </x:c>
      <x:c r="D91" s="17" t="n">
        <x:v>190</x:v>
      </x:c>
      <x:c r="E91" s="16" t="str">
        <x:v>Cash</x:v>
      </x:c>
      <x:c r="F91" s="16" t="str">
        <x:v>Leisure expense</x:v>
      </x:c>
    </x:row>
    <x:row r="92">
      <x:c r="A92" s="15" t="n">
        <x:v>45866</x:v>
      </x:c>
      <x:c r="B92" s="16" t="str">
        <x:v>Transport</x:v>
      </x:c>
      <x:c r="C92" s="16" t="str">
        <x:v>Expense</x:v>
      </x:c>
      <x:c r="D92" s="17" t="n">
        <x:v>122</x:v>
      </x:c>
      <x:c r="E92" s="16" t="str">
        <x:v>Card</x:v>
      </x:c>
      <x:c r="F92" s="16" t="str">
        <x:v>Transport expense</x:v>
      </x:c>
    </x:row>
    <x:row r="93">
      <x:c r="A93" s="15" t="n">
        <x:v>45871</x:v>
      </x:c>
      <x:c r="B93" s="16" t="str">
        <x:v>Healthcare</x:v>
      </x:c>
      <x:c r="C93" s="16" t="str">
        <x:v>Expense</x:v>
      </x:c>
      <x:c r="D93" s="17" t="n">
        <x:v>153</x:v>
      </x:c>
      <x:c r="E93" s="16" t="str">
        <x:v>Card</x:v>
      </x:c>
      <x:c r="F93" s="16" t="str">
        <x:v>Health expense</x:v>
      </x:c>
    </x:row>
    <x:row r="94">
      <x:c r="A94" s="15" t="n">
        <x:v>45872</x:v>
      </x:c>
      <x:c r="B94" s="16" t="str">
        <x:v>Rent</x:v>
      </x:c>
      <x:c r="C94" s="16" t="str">
        <x:v>Expense</x:v>
      </x:c>
      <x:c r="D94" s="17" t="n">
        <x:v>1867</x:v>
      </x:c>
      <x:c r="E94" s="16" t="str">
        <x:v>Bank</x:v>
      </x:c>
      <x:c r="F94" s="16" t="str">
        <x:v>Monthly rent</x:v>
      </x:c>
    </x:row>
    <x:row r="95">
      <x:c r="A95" s="15" t="n">
        <x:v>45872</x:v>
      </x:c>
      <x:c r="B95" s="16" t="str">
        <x:v>Entertainment</x:v>
      </x:c>
      <x:c r="C95" s="16" t="str">
        <x:v>Expense</x:v>
      </x:c>
      <x:c r="D95" s="17" t="n">
        <x:v>140</x:v>
      </x:c>
      <x:c r="E95" s="16" t="str">
        <x:v>Card</x:v>
      </x:c>
      <x:c r="F95" s="16" t="str">
        <x:v>Leisure expense</x:v>
      </x:c>
    </x:row>
    <x:row r="96">
      <x:c r="A96" s="15" t="n">
        <x:v>45874</x:v>
      </x:c>
      <x:c r="B96" s="16" t="str">
        <x:v>Salary</x:v>
      </x:c>
      <x:c r="C96" s="16" t="str">
        <x:v>Income</x:v>
      </x:c>
      <x:c r="D96" s="17" t="n">
        <x:v>5550</x:v>
      </x:c>
      <x:c r="E96" s="16" t="str">
        <x:v>Bank</x:v>
      </x:c>
      <x:c r="F96" s="16" t="str">
        <x:v>Average net salary income</x:v>
      </x:c>
    </x:row>
    <x:row r="97">
      <x:c r="A97" s="15" t="n">
        <x:v>45877</x:v>
      </x:c>
      <x:c r="B97" s="16" t="str">
        <x:v>Transport</x:v>
      </x:c>
      <x:c r="C97" s="16" t="str">
        <x:v>Expense</x:v>
      </x:c>
      <x:c r="D97" s="17" t="n">
        <x:v>104</x:v>
      </x:c>
      <x:c r="E97" s="16" t="str">
        <x:v>Card</x:v>
      </x:c>
      <x:c r="F97" s="16" t="str">
        <x:v>Transport expense</x:v>
      </x:c>
    </x:row>
    <x:row r="98">
      <x:c r="A98" s="15" t="n">
        <x:v>45879</x:v>
      </x:c>
      <x:c r="B98" s="16" t="str">
        <x:v>Utilities</x:v>
      </x:c>
      <x:c r="C98" s="16" t="str">
        <x:v>Expense</x:v>
      </x:c>
      <x:c r="D98" s="17" t="n">
        <x:v>275</x:v>
      </x:c>
      <x:c r="E98" s="16" t="str">
        <x:v>Bank</x:v>
      </x:c>
      <x:c r="F98" s="16" t="str">
        <x:v>Utilities bill</x:v>
      </x:c>
    </x:row>
    <x:row r="99">
      <x:c r="A99" s="15" t="n">
        <x:v>45882</x:v>
      </x:c>
      <x:c r="B99" s="16" t="str">
        <x:v>Transport</x:v>
      </x:c>
      <x:c r="C99" s="16" t="str">
        <x:v>Expense</x:v>
      </x:c>
      <x:c r="D99" s="17" t="n">
        <x:v>123</x:v>
      </x:c>
      <x:c r="E99" s="16" t="str">
        <x:v>Card</x:v>
      </x:c>
      <x:c r="F99" s="16" t="str">
        <x:v>Transport expense</x:v>
      </x:c>
    </x:row>
    <x:row r="100">
      <x:c r="A100" s="15" t="n">
        <x:v>45883</x:v>
      </x:c>
      <x:c r="B100" s="16" t="str">
        <x:v>Food</x:v>
      </x:c>
      <x:c r="C100" s="16" t="str">
        <x:v>Expense</x:v>
      </x:c>
      <x:c r="D100" s="17" t="n">
        <x:v>226</x:v>
      </x:c>
      <x:c r="E100" s="16" t="str">
        <x:v>Cash</x:v>
      </x:c>
      <x:c r="F100" s="16" t="str">
        <x:v>Groceries / meals</x:v>
      </x:c>
    </x:row>
    <x:row r="101">
      <x:c r="A101" s="15" t="n">
        <x:v>45883</x:v>
      </x:c>
      <x:c r="B101" s="16" t="str">
        <x:v>Entertainment</x:v>
      </x:c>
      <x:c r="C101" s="16" t="str">
        <x:v>Expense</x:v>
      </x:c>
      <x:c r="D101" s="17" t="n">
        <x:v>204</x:v>
      </x:c>
      <x:c r="E101" s="16" t="str">
        <x:v>Cash</x:v>
      </x:c>
      <x:c r="F101" s="16" t="str">
        <x:v>Leisure expense</x:v>
      </x:c>
    </x:row>
    <x:row r="102">
      <x:c r="A102" s="15" t="n">
        <x:v>45884</x:v>
      </x:c>
      <x:c r="B102" s="16" t="str">
        <x:v>Food</x:v>
      </x:c>
      <x:c r="C102" s="16" t="str">
        <x:v>Expense</x:v>
      </x:c>
      <x:c r="D102" s="17" t="n">
        <x:v>243</x:v>
      </x:c>
      <x:c r="E102" s="16" t="str">
        <x:v>Card</x:v>
      </x:c>
      <x:c r="F102" s="16" t="str">
        <x:v>Groceries / meals</x:v>
      </x:c>
    </x:row>
    <x:row r="103">
      <x:c r="A103" s="15" t="n">
        <x:v>45884</x:v>
      </x:c>
      <x:c r="B103" s="16" t="str">
        <x:v>Food</x:v>
      </x:c>
      <x:c r="C103" s="16" t="str">
        <x:v>Expense</x:v>
      </x:c>
      <x:c r="D103" s="17" t="n">
        <x:v>320</x:v>
      </x:c>
      <x:c r="E103" s="16" t="str">
        <x:v>Card</x:v>
      </x:c>
      <x:c r="F103" s="16" t="str">
        <x:v>Groceries / meals</x:v>
      </x:c>
    </x:row>
    <x:row r="104">
      <x:c r="A104" s="15" t="n">
        <x:v>45887</x:v>
      </x:c>
      <x:c r="B104" s="16" t="str">
        <x:v>Food</x:v>
      </x:c>
      <x:c r="C104" s="16" t="str">
        <x:v>Expense</x:v>
      </x:c>
      <x:c r="D104" s="17" t="n">
        <x:v>294</x:v>
      </x:c>
      <x:c r="E104" s="16" t="str">
        <x:v>Card</x:v>
      </x:c>
      <x:c r="F104" s="16" t="str">
        <x:v>Groceries / meals</x:v>
      </x:c>
    </x:row>
    <x:row r="105">
      <x:c r="A105" s="15" t="n">
        <x:v>45892</x:v>
      </x:c>
      <x:c r="B105" s="16" t="str">
        <x:v>Investments</x:v>
      </x:c>
      <x:c r="C105" s="16" t="str">
        <x:v>Expense</x:v>
      </x:c>
      <x:c r="D105" s="17" t="n">
        <x:v>621</x:v>
      </x:c>
      <x:c r="E105" s="16" t="str">
        <x:v>Bank</x:v>
      </x:c>
      <x:c r="F105" s="16" t="str">
        <x:v>Monthly investment / savings</x:v>
      </x:c>
    </x:row>
    <x:row r="106">
      <x:c r="A106" s="15" t="n">
        <x:v>45901</x:v>
      </x:c>
      <x:c r="B106" s="16" t="str">
        <x:v>Rent</x:v>
      </x:c>
      <x:c r="C106" s="16" t="str">
        <x:v>Expense</x:v>
      </x:c>
      <x:c r="D106" s="17" t="n">
        <x:v>1802</x:v>
      </x:c>
      <x:c r="E106" s="16" t="str">
        <x:v>Bank</x:v>
      </x:c>
      <x:c r="F106" s="16" t="str">
        <x:v>Monthly rent</x:v>
      </x:c>
    </x:row>
    <x:row r="107">
      <x:c r="A107" s="15" t="n">
        <x:v>45901</x:v>
      </x:c>
      <x:c r="B107" s="16" t="str">
        <x:v>Transport</x:v>
      </x:c>
      <x:c r="C107" s="16" t="str">
        <x:v>Expense</x:v>
      </x:c>
      <x:c r="D107" s="17" t="n">
        <x:v>129</x:v>
      </x:c>
      <x:c r="E107" s="16" t="str">
        <x:v>Cash</x:v>
      </x:c>
      <x:c r="F107" s="16" t="str">
        <x:v>Transport expense</x:v>
      </x:c>
    </x:row>
    <x:row r="108">
      <x:c r="A108" s="15" t="n">
        <x:v>45902</x:v>
      </x:c>
      <x:c r="B108" s="16" t="str">
        <x:v>Food</x:v>
      </x:c>
      <x:c r="C108" s="16" t="str">
        <x:v>Expense</x:v>
      </x:c>
      <x:c r="D108" s="17" t="n">
        <x:v>318</x:v>
      </x:c>
      <x:c r="E108" s="16" t="str">
        <x:v>Card</x:v>
      </x:c>
      <x:c r="F108" s="16" t="str">
        <x:v>Groceries / meals</x:v>
      </x:c>
    </x:row>
    <x:row r="109">
      <x:c r="A109" s="15" t="n">
        <x:v>45902</x:v>
      </x:c>
      <x:c r="B109" s="16" t="str">
        <x:v>Healthcare</x:v>
      </x:c>
      <x:c r="C109" s="16" t="str">
        <x:v>Expense</x:v>
      </x:c>
      <x:c r="D109" s="17" t="n">
        <x:v>144</x:v>
      </x:c>
      <x:c r="E109" s="16" t="str">
        <x:v>Cash</x:v>
      </x:c>
      <x:c r="F109" s="16" t="str">
        <x:v>Health expense</x:v>
      </x:c>
    </x:row>
    <x:row r="110">
      <x:c r="A110" s="15" t="n">
        <x:v>45905</x:v>
      </x:c>
      <x:c r="B110" s="16" t="str">
        <x:v>Salary</x:v>
      </x:c>
      <x:c r="C110" s="16" t="str">
        <x:v>Income</x:v>
      </x:c>
      <x:c r="D110" s="17" t="n">
        <x:v>5600</x:v>
      </x:c>
      <x:c r="E110" s="16" t="str">
        <x:v>Bank</x:v>
      </x:c>
      <x:c r="F110" s="16" t="str">
        <x:v>Average net salary income</x:v>
      </x:c>
    </x:row>
    <x:row r="111">
      <x:c r="A111" s="15" t="n">
        <x:v>45907</x:v>
      </x:c>
      <x:c r="B111" s="16" t="str">
        <x:v>Food</x:v>
      </x:c>
      <x:c r="C111" s="16" t="str">
        <x:v>Expense</x:v>
      </x:c>
      <x:c r="D111" s="17" t="n">
        <x:v>255</x:v>
      </x:c>
      <x:c r="E111" s="16" t="str">
        <x:v>Card</x:v>
      </x:c>
      <x:c r="F111" s="16" t="str">
        <x:v>Groceries / meals</x:v>
      </x:c>
    </x:row>
    <x:row r="112">
      <x:c r="A112" s="15" t="n">
        <x:v>45914</x:v>
      </x:c>
      <x:c r="B112" s="16" t="str">
        <x:v>Food</x:v>
      </x:c>
      <x:c r="C112" s="16" t="str">
        <x:v>Expense</x:v>
      </x:c>
      <x:c r="D112" s="17" t="n">
        <x:v>304</x:v>
      </x:c>
      <x:c r="E112" s="16" t="str">
        <x:v>Card</x:v>
      </x:c>
      <x:c r="F112" s="16" t="str">
        <x:v>Groceries / meals</x:v>
      </x:c>
    </x:row>
    <x:row r="113">
      <x:c r="A113" s="15" t="n">
        <x:v>45916</x:v>
      </x:c>
      <x:c r="B113" s="16" t="str">
        <x:v>Utilities</x:v>
      </x:c>
      <x:c r="C113" s="16" t="str">
        <x:v>Expense</x:v>
      </x:c>
      <x:c r="D113" s="17" t="n">
        <x:v>292</x:v>
      </x:c>
      <x:c r="E113" s="16" t="str">
        <x:v>Bank</x:v>
      </x:c>
      <x:c r="F113" s="16" t="str">
        <x:v>Utilities bill</x:v>
      </x:c>
    </x:row>
    <x:row r="114">
      <x:c r="A114" s="15" t="n">
        <x:v>45917</x:v>
      </x:c>
      <x:c r="B114" s="16" t="str">
        <x:v>Entertainment</x:v>
      </x:c>
      <x:c r="C114" s="16" t="str">
        <x:v>Expense</x:v>
      </x:c>
      <x:c r="D114" s="17" t="n">
        <x:v>120</x:v>
      </x:c>
      <x:c r="E114" s="16" t="str">
        <x:v>Card</x:v>
      </x:c>
      <x:c r="F114" s="16" t="str">
        <x:v>Leisure expense</x:v>
      </x:c>
    </x:row>
    <x:row r="115">
      <x:c r="A115" s="15" t="n">
        <x:v>45917</x:v>
      </x:c>
      <x:c r="B115" s="16" t="str">
        <x:v>Entertainment</x:v>
      </x:c>
      <x:c r="C115" s="16" t="str">
        <x:v>Expense</x:v>
      </x:c>
      <x:c r="D115" s="17" t="n">
        <x:v>100</x:v>
      </x:c>
      <x:c r="E115" s="16" t="str">
        <x:v>Card</x:v>
      </x:c>
      <x:c r="F115" s="16" t="str">
        <x:v>Leisure expense</x:v>
      </x:c>
    </x:row>
    <x:row r="116">
      <x:c r="A116" s="15" t="n">
        <x:v>45921</x:v>
      </x:c>
      <x:c r="B116" s="16" t="str">
        <x:v>Investments</x:v>
      </x:c>
      <x:c r="C116" s="16" t="str">
        <x:v>Expense</x:v>
      </x:c>
      <x:c r="D116" s="17" t="n">
        <x:v>552</x:v>
      </x:c>
      <x:c r="E116" s="16" t="str">
        <x:v>Bank</x:v>
      </x:c>
      <x:c r="F116" s="16" t="str">
        <x:v>Monthly investment / savings</x:v>
      </x:c>
    </x:row>
    <x:row r="117">
      <x:c r="A117" s="15" t="n">
        <x:v>45924</x:v>
      </x:c>
      <x:c r="B117" s="16" t="str">
        <x:v>Food</x:v>
      </x:c>
      <x:c r="C117" s="16" t="str">
        <x:v>Expense</x:v>
      </x:c>
      <x:c r="D117" s="17" t="n">
        <x:v>260</x:v>
      </x:c>
      <x:c r="E117" s="16" t="str">
        <x:v>Card</x:v>
      </x:c>
      <x:c r="F117" s="16" t="str">
        <x:v>Groceries / meals</x:v>
      </x:c>
    </x:row>
    <x:row r="118">
      <x:c r="A118" s="15" t="n">
        <x:v>45926</x:v>
      </x:c>
      <x:c r="B118" s="16" t="str">
        <x:v>Transport</x:v>
      </x:c>
      <x:c r="C118" s="16" t="str">
        <x:v>Expense</x:v>
      </x:c>
      <x:c r="D118" s="17" t="n">
        <x:v>138</x:v>
      </x:c>
      <x:c r="E118" s="16" t="str">
        <x:v>Cash</x:v>
      </x:c>
      <x:c r="F118" s="16" t="str">
        <x:v>Transport expense</x:v>
      </x:c>
    </x:row>
    <x:row r="119">
      <x:c r="A119" s="15" t="n">
        <x:v>45931</x:v>
      </x:c>
      <x:c r="B119" s="16" t="str">
        <x:v>Entertainment</x:v>
      </x:c>
      <x:c r="C119" s="16" t="str">
        <x:v>Expense</x:v>
      </x:c>
      <x:c r="D119" s="17" t="n">
        <x:v>197</x:v>
      </x:c>
      <x:c r="E119" s="16" t="str">
        <x:v>Card</x:v>
      </x:c>
      <x:c r="F119" s="16" t="str">
        <x:v>Leisure expense</x:v>
      </x:c>
    </x:row>
    <x:row r="120">
      <x:c r="A120" s="15" t="n">
        <x:v>45933</x:v>
      </x:c>
      <x:c r="B120" s="16" t="str">
        <x:v>Rent</x:v>
      </x:c>
      <x:c r="C120" s="16" t="str">
        <x:v>Expense</x:v>
      </x:c>
      <x:c r="D120" s="17" t="n">
        <x:v>1717</x:v>
      </x:c>
      <x:c r="E120" s="16" t="str">
        <x:v>Bank</x:v>
      </x:c>
      <x:c r="F120" s="16" t="str">
        <x:v>Monthly rent</x:v>
      </x:c>
    </x:row>
    <x:row r="121">
      <x:c r="A121" s="15" t="n">
        <x:v>45934</x:v>
      </x:c>
      <x:c r="B121" s="16" t="str">
        <x:v>Transport</x:v>
      </x:c>
      <x:c r="C121" s="16" t="str">
        <x:v>Expense</x:v>
      </x:c>
      <x:c r="D121" s="17" t="n">
        <x:v>152</x:v>
      </x:c>
      <x:c r="E121" s="16" t="str">
        <x:v>Card</x:v>
      </x:c>
      <x:c r="F121" s="16" t="str">
        <x:v>Transport expense</x:v>
      </x:c>
    </x:row>
    <x:row r="122">
      <x:c r="A122" s="15" t="n">
        <x:v>45935</x:v>
      </x:c>
      <x:c r="B122" s="16" t="str">
        <x:v>Salary</x:v>
      </x:c>
      <x:c r="C122" s="16" t="str">
        <x:v>Income</x:v>
      </x:c>
      <x:c r="D122" s="17" t="n">
        <x:v>5630</x:v>
      </x:c>
      <x:c r="E122" s="16" t="str">
        <x:v>Bank</x:v>
      </x:c>
      <x:c r="F122" s="16" t="str">
        <x:v>Average net salary income</x:v>
      </x:c>
    </x:row>
    <x:row r="123">
      <x:c r="A123" s="15" t="n">
        <x:v>45935</x:v>
      </x:c>
      <x:c r="B123" s="16" t="str">
        <x:v>Healthcare</x:v>
      </x:c>
      <x:c r="C123" s="16" t="str">
        <x:v>Expense</x:v>
      </x:c>
      <x:c r="D123" s="17" t="n">
        <x:v>155</x:v>
      </x:c>
      <x:c r="E123" s="16" t="str">
        <x:v>Cash</x:v>
      </x:c>
      <x:c r="F123" s="16" t="str">
        <x:v>Health expense</x:v>
      </x:c>
    </x:row>
    <x:row r="124">
      <x:c r="A124" s="15" t="n">
        <x:v>45938</x:v>
      </x:c>
      <x:c r="B124" s="16" t="str">
        <x:v>Food</x:v>
      </x:c>
      <x:c r="C124" s="16" t="str">
        <x:v>Expense</x:v>
      </x:c>
      <x:c r="D124" s="17" t="n">
        <x:v>247</x:v>
      </x:c>
      <x:c r="E124" s="16" t="str">
        <x:v>Cash</x:v>
      </x:c>
      <x:c r="F124" s="16" t="str">
        <x:v>Groceries / meals</x:v>
      </x:c>
    </x:row>
    <x:row r="125">
      <x:c r="A125" s="15" t="n">
        <x:v>45939</x:v>
      </x:c>
      <x:c r="B125" s="16" t="str">
        <x:v>Food</x:v>
      </x:c>
      <x:c r="C125" s="16" t="str">
        <x:v>Expense</x:v>
      </x:c>
      <x:c r="D125" s="17" t="n">
        <x:v>232</x:v>
      </x:c>
      <x:c r="E125" s="16" t="str">
        <x:v>Cash</x:v>
      </x:c>
      <x:c r="F125" s="16" t="str">
        <x:v>Groceries / meals</x:v>
      </x:c>
    </x:row>
    <x:row r="126">
      <x:c r="A126" s="15" t="n">
        <x:v>45945</x:v>
      </x:c>
      <x:c r="B126" s="16" t="str">
        <x:v>Entertainment</x:v>
      </x:c>
      <x:c r="C126" s="16" t="str">
        <x:v>Expense</x:v>
      </x:c>
      <x:c r="D126" s="17" t="n">
        <x:v>160</x:v>
      </x:c>
      <x:c r="E126" s="16" t="str">
        <x:v>Card</x:v>
      </x:c>
      <x:c r="F126" s="16" t="str">
        <x:v>Leisure expense</x:v>
      </x:c>
    </x:row>
    <x:row r="127">
      <x:c r="A127" s="15" t="n">
        <x:v>45946</x:v>
      </x:c>
      <x:c r="B127" s="16" t="str">
        <x:v>Utilities</x:v>
      </x:c>
      <x:c r="C127" s="16" t="str">
        <x:v>Expense</x:v>
      </x:c>
      <x:c r="D127" s="17" t="n">
        <x:v>310</x:v>
      </x:c>
      <x:c r="E127" s="16" t="str">
        <x:v>Bank</x:v>
      </x:c>
      <x:c r="F127" s="16" t="str">
        <x:v>Utilities bill</x:v>
      </x:c>
    </x:row>
    <x:row r="128">
      <x:c r="A128" s="15" t="n">
        <x:v>45949</x:v>
      </x:c>
      <x:c r="B128" s="16" t="str">
        <x:v>Transport</x:v>
      </x:c>
      <x:c r="C128" s="16" t="str">
        <x:v>Expense</x:v>
      </x:c>
      <x:c r="D128" s="17" t="n">
        <x:v>156</x:v>
      </x:c>
      <x:c r="E128" s="16" t="str">
        <x:v>Card</x:v>
      </x:c>
      <x:c r="F128" s="16" t="str">
        <x:v>Transport expense</x:v>
      </x:c>
    </x:row>
    <x:row r="129">
      <x:c r="A129" s="15" t="n">
        <x:v>45950</x:v>
      </x:c>
      <x:c r="B129" s="16" t="str">
        <x:v>Food</x:v>
      </x:c>
      <x:c r="C129" s="16" t="str">
        <x:v>Expense</x:v>
      </x:c>
      <x:c r="D129" s="17" t="n">
        <x:v>200</x:v>
      </x:c>
      <x:c r="E129" s="16" t="str">
        <x:v>Cash</x:v>
      </x:c>
      <x:c r="F129" s="16" t="str">
        <x:v>Groceries / meals</x:v>
      </x:c>
    </x:row>
    <x:row r="130">
      <x:c r="A130" s="15" t="n">
        <x:v>45951</x:v>
      </x:c>
      <x:c r="B130" s="16" t="str">
        <x:v>Investments</x:v>
      </x:c>
      <x:c r="C130" s="16" t="str">
        <x:v>Expense</x:v>
      </x:c>
      <x:c r="D130" s="17" t="n">
        <x:v>537</x:v>
      </x:c>
      <x:c r="E130" s="16" t="str">
        <x:v>Bank</x:v>
      </x:c>
      <x:c r="F130" s="16" t="str">
        <x:v>Monthly investment / savings</x:v>
      </x:c>
    </x:row>
    <x:row r="131">
      <x:c r="A131" s="15" t="n">
        <x:v>45952</x:v>
      </x:c>
      <x:c r="B131" s="16" t="str">
        <x:v>Food</x:v>
      </x:c>
      <x:c r="C131" s="16" t="str">
        <x:v>Expense</x:v>
      </x:c>
      <x:c r="D131" s="17" t="n">
        <x:v>313</x:v>
      </x:c>
      <x:c r="E131" s="16" t="str">
        <x:v>Cash</x:v>
      </x:c>
      <x:c r="F131" s="16" t="str">
        <x:v>Groceries / meals</x:v>
      </x:c>
    </x:row>
    <x:row r="132">
      <x:c r="A132" s="15" t="n">
        <x:v>45964</x:v>
      </x:c>
      <x:c r="B132" s="16" t="str">
        <x:v>Rent</x:v>
      </x:c>
      <x:c r="C132" s="16" t="str">
        <x:v>Expense</x:v>
      </x:c>
      <x:c r="D132" s="17" t="n">
        <x:v>1754</x:v>
      </x:c>
      <x:c r="E132" s="16" t="str">
        <x:v>Bank</x:v>
      </x:c>
      <x:c r="F132" s="16" t="str">
        <x:v>Monthly rent</x:v>
      </x:c>
    </x:row>
    <x:row r="133">
      <x:c r="A133" s="15" t="n">
        <x:v>45965</x:v>
      </x:c>
      <x:c r="B133" s="16" t="str">
        <x:v>Healthcare</x:v>
      </x:c>
      <x:c r="C133" s="16" t="str">
        <x:v>Expense</x:v>
      </x:c>
      <x:c r="D133" s="17" t="n">
        <x:v>165</x:v>
      </x:c>
      <x:c r="E133" s="16" t="str">
        <x:v>Card</x:v>
      </x:c>
      <x:c r="F133" s="16" t="str">
        <x:v>Health expense</x:v>
      </x:c>
    </x:row>
    <x:row r="134">
      <x:c r="A134" s="15" t="n">
        <x:v>45966</x:v>
      </x:c>
      <x:c r="B134" s="16" t="str">
        <x:v>Salary</x:v>
      </x:c>
      <x:c r="C134" s="16" t="str">
        <x:v>Income</x:v>
      </x:c>
      <x:c r="D134" s="17" t="n">
        <x:v>5615</x:v>
      </x:c>
      <x:c r="E134" s="16" t="str">
        <x:v>Bank</x:v>
      </x:c>
      <x:c r="F134" s="16" t="str">
        <x:v>Average net salary income</x:v>
      </x:c>
    </x:row>
    <x:row r="135">
      <x:c r="A135" s="15" t="n">
        <x:v>45966</x:v>
      </x:c>
      <x:c r="B135" s="16" t="str">
        <x:v>Food</x:v>
      </x:c>
      <x:c r="C135" s="16" t="str">
        <x:v>Expense</x:v>
      </x:c>
      <x:c r="D135" s="17" t="n">
        <x:v>247</x:v>
      </x:c>
      <x:c r="E135" s="16" t="str">
        <x:v>Card</x:v>
      </x:c>
      <x:c r="F135" s="16" t="str">
        <x:v>Groceries / meals</x:v>
      </x:c>
    </x:row>
    <x:row r="136">
      <x:c r="A136" s="15" t="n">
        <x:v>45970</x:v>
      </x:c>
      <x:c r="B136" s="16" t="str">
        <x:v>Entertainment</x:v>
      </x:c>
      <x:c r="C136" s="16" t="str">
        <x:v>Expense</x:v>
      </x:c>
      <x:c r="D136" s="17" t="n">
        <x:v>152</x:v>
      </x:c>
      <x:c r="E136" s="16" t="str">
        <x:v>Card</x:v>
      </x:c>
      <x:c r="F136" s="16" t="str">
        <x:v>Leisure expense</x:v>
      </x:c>
    </x:row>
    <x:row r="137">
      <x:c r="A137" s="15" t="n">
        <x:v>45973</x:v>
      </x:c>
      <x:c r="B137" s="16" t="str">
        <x:v>Utilities</x:v>
      </x:c>
      <x:c r="C137" s="16" t="str">
        <x:v>Expense</x:v>
      </x:c>
      <x:c r="D137" s="17" t="n">
        <x:v>317</x:v>
      </x:c>
      <x:c r="E137" s="16" t="str">
        <x:v>Bank</x:v>
      </x:c>
      <x:c r="F137" s="16" t="str">
        <x:v>Utilities bill</x:v>
      </x:c>
    </x:row>
    <x:row r="138">
      <x:c r="A138" s="15" t="n">
        <x:v>45973</x:v>
      </x:c>
      <x:c r="B138" s="16" t="str">
        <x:v>Transport</x:v>
      </x:c>
      <x:c r="C138" s="16" t="str">
        <x:v>Expense</x:v>
      </x:c>
      <x:c r="D138" s="17" t="n">
        <x:v>88</x:v>
      </x:c>
      <x:c r="E138" s="16" t="str">
        <x:v>Card</x:v>
      </x:c>
      <x:c r="F138" s="16" t="str">
        <x:v>Transport expense</x:v>
      </x:c>
    </x:row>
    <x:row r="139">
      <x:c r="A139" s="15" t="n">
        <x:v>45973</x:v>
      </x:c>
      <x:c r="B139" s="16" t="str">
        <x:v>Transport</x:v>
      </x:c>
      <x:c r="C139" s="16" t="str">
        <x:v>Expense</x:v>
      </x:c>
      <x:c r="D139" s="17" t="n">
        <x:v>116</x:v>
      </x:c>
      <x:c r="E139" s="16" t="str">
        <x:v>Card</x:v>
      </x:c>
      <x:c r="F139" s="16" t="str">
        <x:v>Transport expense</x:v>
      </x:c>
    </x:row>
    <x:row r="140">
      <x:c r="A140" s="15" t="n">
        <x:v>45976</x:v>
      </x:c>
      <x:c r="B140" s="16" t="str">
        <x:v>Food</x:v>
      </x:c>
      <x:c r="C140" s="16" t="str">
        <x:v>Expense</x:v>
      </x:c>
      <x:c r="D140" s="17" t="n">
        <x:v>319</x:v>
      </x:c>
      <x:c r="E140" s="16" t="str">
        <x:v>Cash</x:v>
      </x:c>
      <x:c r="F140" s="16" t="str">
        <x:v>Groceries / meals</x:v>
      </x:c>
    </x:row>
    <x:row r="141">
      <x:c r="A141" s="15" t="n">
        <x:v>45981</x:v>
      </x:c>
      <x:c r="B141" s="16" t="str">
        <x:v>Food</x:v>
      </x:c>
      <x:c r="C141" s="16" t="str">
        <x:v>Expense</x:v>
      </x:c>
      <x:c r="D141" s="17" t="n">
        <x:v>315</x:v>
      </x:c>
      <x:c r="E141" s="16" t="str">
        <x:v>Card</x:v>
      </x:c>
      <x:c r="F141" s="16" t="str">
        <x:v>Groceries / meals</x:v>
      </x:c>
    </x:row>
    <x:row r="142">
      <x:c r="A142" s="15" t="n">
        <x:v>45983</x:v>
      </x:c>
      <x:c r="B142" s="16" t="str">
        <x:v>Food</x:v>
      </x:c>
      <x:c r="C142" s="16" t="str">
        <x:v>Expense</x:v>
      </x:c>
      <x:c r="D142" s="17" t="n">
        <x:v>256</x:v>
      </x:c>
      <x:c r="E142" s="16" t="str">
        <x:v>Card</x:v>
      </x:c>
      <x:c r="F142" s="16" t="str">
        <x:v>Groceries / meals</x:v>
      </x:c>
    </x:row>
    <x:row r="143">
      <x:c r="A143" s="15" t="n">
        <x:v>45984</x:v>
      </x:c>
      <x:c r="B143" s="16" t="str">
        <x:v>Entertainment</x:v>
      </x:c>
      <x:c r="C143" s="16" t="str">
        <x:v>Expense</x:v>
      </x:c>
      <x:c r="D143" s="17" t="n">
        <x:v>167</x:v>
      </x:c>
      <x:c r="E143" s="16" t="str">
        <x:v>Card</x:v>
      </x:c>
      <x:c r="F143" s="16" t="str">
        <x:v>Leisure expense</x:v>
      </x:c>
    </x:row>
    <x:row r="144">
      <x:c r="A144" s="15" t="n">
        <x:v>45985</x:v>
      </x:c>
      <x:c r="B144" s="16" t="str">
        <x:v>Investments</x:v>
      </x:c>
      <x:c r="C144" s="16" t="str">
        <x:v>Expense</x:v>
      </x:c>
      <x:c r="D144" s="17" t="n">
        <x:v>529</x:v>
      </x:c>
      <x:c r="E144" s="16" t="str">
        <x:v>Bank</x:v>
      </x:c>
      <x:c r="F144" s="16" t="str">
        <x:v>Monthly investment / savings</x:v>
      </x:c>
    </x:row>
    <x:row r="145">
      <x:c r="A145" s="15" t="n">
        <x:v>45993</x:v>
      </x:c>
      <x:c r="B145" s="16" t="str">
        <x:v>Rent</x:v>
      </x:c>
      <x:c r="C145" s="16" t="str">
        <x:v>Expense</x:v>
      </x:c>
      <x:c r="D145" s="17" t="n">
        <x:v>1825</x:v>
      </x:c>
      <x:c r="E145" s="16" t="str">
        <x:v>Bank</x:v>
      </x:c>
      <x:c r="F145" s="16" t="str">
        <x:v>Monthly rent</x:v>
      </x:c>
    </x:row>
    <x:row r="146">
      <x:c r="A146" s="15" t="n">
        <x:v>45993</x:v>
      </x:c>
      <x:c r="B146" s="16" t="str">
        <x:v>Transport</x:v>
      </x:c>
      <x:c r="C146" s="16" t="str">
        <x:v>Expense</x:v>
      </x:c>
      <x:c r="D146" s="17" t="n">
        <x:v>80</x:v>
      </x:c>
      <x:c r="E146" s="16" t="str">
        <x:v>Cash</x:v>
      </x:c>
      <x:c r="F146" s="16" t="str">
        <x:v>Transport expense</x:v>
      </x:c>
    </x:row>
    <x:row r="147">
      <x:c r="A147" s="15" t="n">
        <x:v>45994</x:v>
      </x:c>
      <x:c r="B147" s="16" t="str">
        <x:v>Food</x:v>
      </x:c>
      <x:c r="C147" s="16" t="str">
        <x:v>Expense</x:v>
      </x:c>
      <x:c r="D147" s="17" t="n">
        <x:v>218</x:v>
      </x:c>
      <x:c r="E147" s="16" t="str">
        <x:v>Card</x:v>
      </x:c>
      <x:c r="F147" s="16" t="str">
        <x:v>Groceries / meals</x:v>
      </x:c>
    </x:row>
    <x:row r="148">
      <x:c r="A148" s="15" t="n">
        <x:v>45996</x:v>
      </x:c>
      <x:c r="B148" s="16" t="str">
        <x:v>Salary</x:v>
      </x:c>
      <x:c r="C148" s="16" t="str">
        <x:v>Income</x:v>
      </x:c>
      <x:c r="D148" s="17" t="n">
        <x:v>5900</x:v>
      </x:c>
      <x:c r="E148" s="16" t="str">
        <x:v>Bank</x:v>
      </x:c>
      <x:c r="F148" s="16" t="str">
        <x:v>Average net salary income</x:v>
      </x:c>
    </x:row>
    <x:row r="149">
      <x:c r="A149" s="15" t="n">
        <x:v>45997</x:v>
      </x:c>
      <x:c r="B149" s="16" t="str">
        <x:v>Food</x:v>
      </x:c>
      <x:c r="C149" s="16" t="str">
        <x:v>Expense</x:v>
      </x:c>
      <x:c r="D149" s="17" t="n">
        <x:v>293</x:v>
      </x:c>
      <x:c r="E149" s="16" t="str">
        <x:v>Cash</x:v>
      </x:c>
      <x:c r="F149" s="16" t="str">
        <x:v>Groceries / meals</x:v>
      </x:c>
    </x:row>
    <x:row r="150">
      <x:c r="A150" s="15" t="n">
        <x:v>46001</x:v>
      </x:c>
      <x:c r="B150" s="16" t="str">
        <x:v>Entertainment</x:v>
      </x:c>
      <x:c r="C150" s="16" t="str">
        <x:v>Expense</x:v>
      </x:c>
      <x:c r="D150" s="17" t="n">
        <x:v>173</x:v>
      </x:c>
      <x:c r="E150" s="16" t="str">
        <x:v>Card</x:v>
      </x:c>
      <x:c r="F150" s="16" t="str">
        <x:v>Leisure expense</x:v>
      </x:c>
    </x:row>
    <x:row r="151">
      <x:c r="A151" s="15" t="n">
        <x:v>46002</x:v>
      </x:c>
      <x:c r="B151" s="16" t="str">
        <x:v>Utilities</x:v>
      </x:c>
      <x:c r="C151" s="16" t="str">
        <x:v>Expense</x:v>
      </x:c>
      <x:c r="D151" s="17" t="n">
        <x:v>263</x:v>
      </x:c>
      <x:c r="E151" s="16" t="str">
        <x:v>Bank</x:v>
      </x:c>
      <x:c r="F151" s="16" t="str">
        <x:v>Utilities bill</x:v>
      </x:c>
    </x:row>
    <x:row r="152">
      <x:c r="A152" s="15" t="n">
        <x:v>46005</x:v>
      </x:c>
      <x:c r="B152" s="16" t="str">
        <x:v>Entertainment</x:v>
      </x:c>
      <x:c r="C152" s="16" t="str">
        <x:v>Expense</x:v>
      </x:c>
      <x:c r="D152" s="17" t="n">
        <x:v>112</x:v>
      </x:c>
      <x:c r="E152" s="16" t="str">
        <x:v>Card</x:v>
      </x:c>
      <x:c r="F152" s="16" t="str">
        <x:v>Leisure expense</x:v>
      </x:c>
    </x:row>
    <x:row r="153">
      <x:c r="A153" s="15" t="n">
        <x:v>46009</x:v>
      </x:c>
      <x:c r="B153" s="16" t="str">
        <x:v>Food</x:v>
      </x:c>
      <x:c r="C153" s="16" t="str">
        <x:v>Expense</x:v>
      </x:c>
      <x:c r="D153" s="17" t="n">
        <x:v>182</x:v>
      </x:c>
      <x:c r="E153" s="16" t="str">
        <x:v>Card</x:v>
      </x:c>
      <x:c r="F153" s="16" t="str">
        <x:v>Groceries / meals</x:v>
      </x:c>
    </x:row>
    <x:row r="154">
      <x:c r="A154" s="15" t="n">
        <x:v>46012</x:v>
      </x:c>
      <x:c r="B154" s="16" t="str">
        <x:v>Transport</x:v>
      </x:c>
      <x:c r="C154" s="16" t="str">
        <x:v>Expense</x:v>
      </x:c>
      <x:c r="D154" s="17" t="n">
        <x:v>134</x:v>
      </x:c>
      <x:c r="E154" s="16" t="str">
        <x:v>Cash</x:v>
      </x:c>
      <x:c r="F154" s="16" t="str">
        <x:v>Transport expense</x:v>
      </x:c>
    </x:row>
    <x:row r="155">
      <x:c r="A155" s="15" t="n">
        <x:v>46016</x:v>
      </x:c>
      <x:c r="B155" s="16" t="str">
        <x:v>Food</x:v>
      </x:c>
      <x:c r="C155" s="16" t="str">
        <x:v>Expense</x:v>
      </x:c>
      <x:c r="D155" s="17" t="n">
        <x:v>213</x:v>
      </x:c>
      <x:c r="E155" s="16" t="str">
        <x:v>Cash</x:v>
      </x:c>
      <x:c r="F155" s="16" t="str">
        <x:v>Groceries / meals</x:v>
      </x:c>
    </x:row>
    <x:row r="156">
      <x:c r="A156" s="15" t="n">
        <x:v>46016</x:v>
      </x:c>
      <x:c r="B156" s="16" t="str">
        <x:v>Investments</x:v>
      </x:c>
      <x:c r="C156" s="16" t="str">
        <x:v>Expense</x:v>
      </x:c>
      <x:c r="D156" s="17" t="n">
        <x:v>453</x:v>
      </x:c>
      <x:c r="E156" s="16" t="str">
        <x:v>Bank</x:v>
      </x:c>
      <x:c r="F156" s="16" t="str">
        <x:v>Monthly investment / savings</x:v>
      </x:c>
    </x:row>
    <x:row r="157">
      <x:c r="A157" s="15" t="n">
        <x:v>46018</x:v>
      </x:c>
      <x:c r="B157" s="16" t="str">
        <x:v>Healthcare</x:v>
      </x:c>
      <x:c r="C157" s="16" t="str">
        <x:v>Expense</x:v>
      </x:c>
      <x:c r="D157" s="17" t="n">
        <x:v>117</x:v>
      </x:c>
      <x:c r="E157" s="16" t="str">
        <x:v>Card</x:v>
      </x:c>
      <x:c r="F157" s="16" t="str">
        <x:v>Health expense</x:v>
      </x:c>
    </x:row>
  </x:sheetData>
  <x:conditionalFormatting sqref="C2:C157">
    <x:cfRule type="expression" dxfId="0" priority="1">
      <x:formula>C2="Income"</x:formula>
    </x:cfRule>
    <x:cfRule type="expression" dxfId="1" priority="2">
      <x:formula>C2="Expense"</x:formula>
    </x:cfRule>
  </x:conditionalFormatting>
  <x:dataValidations count="2">
    <x:dataValidation type="list" sqref="C2:C257">
      <x:formula1>"Income,Expense"</x:formula1>
    </x:dataValidation>
    <x:dataValidation type="list" sqref="E2:E257">
      <x:formula1>"Bank,Card,Cash"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74647d5cf842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80" hidden="0" customWidth="1"/>
  </x:cols>
  <x:sheetData>
    <x:row r="1">
      <x:c r="A1" s="23" t="str">
        <x:v>Dataset summary</x:v>
      </x:c>
    </x:row>
    <x:row r="3">
      <x:c r="A3" s="28" t="str">
        <x:v>Metric</x:v>
      </x:c>
      <x:c r="B3" s="28" t="str">
        <x:v>Value</x:v>
      </x:c>
    </x:row>
    <x:row r="4">
      <x:c r="A4" t="str">
        <x:v>Total Revenue</x:v>
      </x:c>
      <x:c r="B4" s="12" t="n">
        <x:f>SUMIFS(Transactions!D:D,Transactions!C:C,"Income")</x:f>
        <x:v>66995</x:v>
      </x:c>
    </x:row>
    <x:row r="5">
      <x:c r="A5" t="str">
        <x:v>Total Expenses</x:v>
      </x:c>
      <x:c r="B5" s="12" t="n">
        <x:f>SUMIFS(Transactions!D:D,Transactions!C:C,"Expense")</x:f>
        <x:v>51507</x:v>
      </x:c>
    </x:row>
    <x:row r="6">
      <x:c r="A6" t="str">
        <x:v>Net Profit</x:v>
      </x:c>
      <x:c r="B6" s="12" t="n">
        <x:f>B4-B5</x:f>
        <x:v>15488</x:v>
      </x:c>
    </x:row>
    <x:row r="7">
      <x:c r="A7" t="str">
        <x:v>Savings Rate</x:v>
      </x:c>
      <x:c r="B7" s="32" t="n">
        <x:f>B6/B4</x:f>
        <x:v>0.23118143145010822</x:v>
      </x:c>
    </x:row>
    <x:row r="8">
      <x:c r="A8" t="str">
        <x:v>Rows</x:v>
      </x:c>
      <x:c r="B8" t="n">
        <x:v>156</x:v>
      </x:c>
    </x:row>
    <x:row r="10">
      <x:c r="A10" s="34" t="str">
        <x:v>Note</x:v>
      </x:c>
      <x:c r="B10" s="16" t="str">
        <x:v>Fictional portfolio dataset inspired by Romanian 2025 average net salary ranges; use Transactions sheet in Power BI.</x:v>
      </x:c>
    </x:row>
  </x:sheetData>
  <x:mergeCells>
    <x:mergeCell ref="A1:D1"/>
  </x:mergeCells>
  <x:pageMargins left="0.7" right="0.7" top="0.75" bottom="0.75" header="0.3" footer="0.3"/>
</x:worksheet>
</file>